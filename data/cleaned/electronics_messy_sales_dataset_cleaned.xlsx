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 PAVILION X360\Downloads\archive (8)\"/>
    </mc:Choice>
  </mc:AlternateContent>
  <xr:revisionPtr revIDLastSave="0" documentId="8_{CFA03095-DB51-422C-9673-CCD14227AD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  <sheet name="Support" sheetId="3" state="hidden" r:id="rId2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3" l="1" a="1"/>
  <c r="B4" i="3" s="1"/>
  <c r="A3" i="3" a="1"/>
  <c r="A17" i="3" s="1"/>
  <c r="H551" i="1"/>
  <c r="E551" i="1"/>
  <c r="E550" i="1"/>
  <c r="H550" i="1" s="1"/>
  <c r="E549" i="1"/>
  <c r="H549" i="1" s="1"/>
  <c r="E548" i="1"/>
  <c r="H548" i="1" s="1"/>
  <c r="E547" i="1"/>
  <c r="H547" i="1" s="1"/>
  <c r="H546" i="1"/>
  <c r="E546" i="1"/>
  <c r="E545" i="1"/>
  <c r="H545" i="1" s="1"/>
  <c r="H544" i="1"/>
  <c r="E544" i="1"/>
  <c r="E543" i="1"/>
  <c r="H543" i="1" s="1"/>
  <c r="E542" i="1"/>
  <c r="H542" i="1" s="1"/>
  <c r="E541" i="1"/>
  <c r="H541" i="1" s="1"/>
  <c r="E540" i="1"/>
  <c r="H540" i="1" s="1"/>
  <c r="H539" i="1"/>
  <c r="E539" i="1"/>
  <c r="E538" i="1"/>
  <c r="H538" i="1" s="1"/>
  <c r="E537" i="1"/>
  <c r="H537" i="1" s="1"/>
  <c r="H536" i="1"/>
  <c r="E536" i="1"/>
  <c r="E535" i="1"/>
  <c r="H535" i="1" s="1"/>
  <c r="E534" i="1"/>
  <c r="H534" i="1" s="1"/>
  <c r="E533" i="1"/>
  <c r="H533" i="1" s="1"/>
  <c r="E532" i="1"/>
  <c r="H532" i="1" s="1"/>
  <c r="H531" i="1"/>
  <c r="E531" i="1"/>
  <c r="E530" i="1"/>
  <c r="H530" i="1" s="1"/>
  <c r="E529" i="1"/>
  <c r="H529" i="1" s="1"/>
  <c r="H528" i="1"/>
  <c r="E528" i="1"/>
  <c r="E527" i="1"/>
  <c r="H527" i="1" s="1"/>
  <c r="H526" i="1"/>
  <c r="E526" i="1"/>
  <c r="E525" i="1"/>
  <c r="H525" i="1" s="1"/>
  <c r="E524" i="1"/>
  <c r="H524" i="1" s="1"/>
  <c r="E523" i="1"/>
  <c r="H523" i="1" s="1"/>
  <c r="E522" i="1"/>
  <c r="H522" i="1" s="1"/>
  <c r="H521" i="1"/>
  <c r="E521" i="1"/>
  <c r="E520" i="1"/>
  <c r="H520" i="1" s="1"/>
  <c r="E519" i="1"/>
  <c r="H519" i="1" s="1"/>
  <c r="H518" i="1"/>
  <c r="E518" i="1"/>
  <c r="E517" i="1"/>
  <c r="H517" i="1" s="1"/>
  <c r="H516" i="1"/>
  <c r="E516" i="1"/>
  <c r="E515" i="1"/>
  <c r="H515" i="1" s="1"/>
  <c r="H514" i="1"/>
  <c r="E514" i="1"/>
  <c r="H513" i="1"/>
  <c r="E513" i="1"/>
  <c r="E512" i="1"/>
  <c r="H512" i="1" s="1"/>
  <c r="E511" i="1"/>
  <c r="H511" i="1" s="1"/>
  <c r="E510" i="1"/>
  <c r="H510" i="1" s="1"/>
  <c r="H509" i="1"/>
  <c r="E509" i="1"/>
  <c r="E508" i="1"/>
  <c r="H508" i="1" s="1"/>
  <c r="H507" i="1"/>
  <c r="E507" i="1"/>
  <c r="E506" i="1"/>
  <c r="H506" i="1" s="1"/>
  <c r="E505" i="1"/>
  <c r="H505" i="1" s="1"/>
  <c r="E504" i="1"/>
  <c r="H504" i="1" s="1"/>
  <c r="E503" i="1"/>
  <c r="H503" i="1" s="1"/>
  <c r="E502" i="1"/>
  <c r="H502" i="1" s="1"/>
  <c r="E501" i="1"/>
  <c r="H501" i="1" s="1"/>
  <c r="H500" i="1"/>
  <c r="E500" i="1"/>
  <c r="E499" i="1"/>
  <c r="H499" i="1" s="1"/>
  <c r="H498" i="1"/>
  <c r="E498" i="1"/>
  <c r="E497" i="1"/>
  <c r="H497" i="1" s="1"/>
  <c r="E496" i="1"/>
  <c r="H496" i="1" s="1"/>
  <c r="E495" i="1"/>
  <c r="H495" i="1" s="1"/>
  <c r="E494" i="1"/>
  <c r="H494" i="1" s="1"/>
  <c r="E493" i="1"/>
  <c r="H493" i="1" s="1"/>
  <c r="H492" i="1"/>
  <c r="E492" i="1"/>
  <c r="E491" i="1"/>
  <c r="H491" i="1" s="1"/>
  <c r="E490" i="1"/>
  <c r="H490" i="1" s="1"/>
  <c r="E489" i="1"/>
  <c r="H489" i="1" s="1"/>
  <c r="E488" i="1"/>
  <c r="H488" i="1" s="1"/>
  <c r="E487" i="1"/>
  <c r="H487" i="1" s="1"/>
  <c r="E486" i="1"/>
  <c r="H486" i="1" s="1"/>
  <c r="H485" i="1"/>
  <c r="E485" i="1"/>
  <c r="E484" i="1"/>
  <c r="H484" i="1" s="1"/>
  <c r="E483" i="1"/>
  <c r="H483" i="1" s="1"/>
  <c r="E482" i="1"/>
  <c r="H482" i="1" s="1"/>
  <c r="E481" i="1"/>
  <c r="H481" i="1" s="1"/>
  <c r="H480" i="1"/>
  <c r="E480" i="1"/>
  <c r="E479" i="1"/>
  <c r="H479" i="1" s="1"/>
  <c r="E478" i="1"/>
  <c r="H478" i="1" s="1"/>
  <c r="H477" i="1"/>
  <c r="E477" i="1"/>
  <c r="E476" i="1"/>
  <c r="H476" i="1" s="1"/>
  <c r="E475" i="1"/>
  <c r="H475" i="1" s="1"/>
  <c r="E474" i="1"/>
  <c r="H474" i="1" s="1"/>
  <c r="E473" i="1"/>
  <c r="H473" i="1" s="1"/>
  <c r="H472" i="1"/>
  <c r="E472" i="1"/>
  <c r="E471" i="1"/>
  <c r="H471" i="1" s="1"/>
  <c r="E470" i="1"/>
  <c r="H470" i="1" s="1"/>
  <c r="E469" i="1"/>
  <c r="H469" i="1" s="1"/>
  <c r="E468" i="1"/>
  <c r="H468" i="1" s="1"/>
  <c r="H467" i="1"/>
  <c r="E467" i="1"/>
  <c r="E466" i="1"/>
  <c r="H466" i="1" s="1"/>
  <c r="E465" i="1"/>
  <c r="H465" i="1" s="1"/>
  <c r="E464" i="1"/>
  <c r="H464" i="1" s="1"/>
  <c r="E463" i="1"/>
  <c r="H463" i="1" s="1"/>
  <c r="H462" i="1"/>
  <c r="E462" i="1"/>
  <c r="E461" i="1"/>
  <c r="H461" i="1" s="1"/>
  <c r="E460" i="1"/>
  <c r="H460" i="1" s="1"/>
  <c r="H459" i="1"/>
  <c r="E459" i="1"/>
  <c r="E458" i="1"/>
  <c r="H458" i="1" s="1"/>
  <c r="E457" i="1"/>
  <c r="H457" i="1" s="1"/>
  <c r="E456" i="1"/>
  <c r="H456" i="1" s="1"/>
  <c r="E455" i="1"/>
  <c r="H455" i="1" s="1"/>
  <c r="H454" i="1"/>
  <c r="E454" i="1"/>
  <c r="E453" i="1"/>
  <c r="H453" i="1" s="1"/>
  <c r="E452" i="1"/>
  <c r="H452" i="1" s="1"/>
  <c r="E451" i="1"/>
  <c r="H451" i="1" s="1"/>
  <c r="E450" i="1"/>
  <c r="H450" i="1" s="1"/>
  <c r="E449" i="1"/>
  <c r="H449" i="1" s="1"/>
  <c r="E448" i="1"/>
  <c r="H448" i="1" s="1"/>
  <c r="E447" i="1"/>
  <c r="H447" i="1" s="1"/>
  <c r="H446" i="1"/>
  <c r="E446" i="1"/>
  <c r="E445" i="1"/>
  <c r="H445" i="1" s="1"/>
  <c r="E444" i="1"/>
  <c r="H444" i="1" s="1"/>
  <c r="E443" i="1"/>
  <c r="H443" i="1" s="1"/>
  <c r="E442" i="1"/>
  <c r="H442" i="1" s="1"/>
  <c r="H441" i="1"/>
  <c r="E441" i="1"/>
  <c r="H440" i="1"/>
  <c r="E440" i="1"/>
  <c r="E439" i="1"/>
  <c r="H439" i="1" s="1"/>
  <c r="E438" i="1"/>
  <c r="H438" i="1" s="1"/>
  <c r="E437" i="1"/>
  <c r="H437" i="1" s="1"/>
  <c r="E436" i="1"/>
  <c r="H436" i="1" s="1"/>
  <c r="E435" i="1"/>
  <c r="H435" i="1" s="1"/>
  <c r="E434" i="1"/>
  <c r="H434" i="1" s="1"/>
  <c r="E433" i="1"/>
  <c r="H433" i="1" s="1"/>
  <c r="E432" i="1"/>
  <c r="H432" i="1" s="1"/>
  <c r="E431" i="1"/>
  <c r="H431" i="1" s="1"/>
  <c r="E430" i="1"/>
  <c r="H430" i="1" s="1"/>
  <c r="E429" i="1"/>
  <c r="H429" i="1" s="1"/>
  <c r="H428" i="1"/>
  <c r="E428" i="1"/>
  <c r="E427" i="1"/>
  <c r="H427" i="1" s="1"/>
  <c r="H426" i="1"/>
  <c r="E426" i="1"/>
  <c r="E425" i="1"/>
  <c r="H425" i="1" s="1"/>
  <c r="E424" i="1"/>
  <c r="H424" i="1" s="1"/>
  <c r="E423" i="1"/>
  <c r="H423" i="1" s="1"/>
  <c r="E422" i="1"/>
  <c r="H422" i="1" s="1"/>
  <c r="E421" i="1"/>
  <c r="H421" i="1" s="1"/>
  <c r="E420" i="1"/>
  <c r="H420" i="1" s="1"/>
  <c r="E419" i="1"/>
  <c r="H419" i="1" s="1"/>
  <c r="H418" i="1"/>
  <c r="E418" i="1"/>
  <c r="E417" i="1"/>
  <c r="H417" i="1" s="1"/>
  <c r="E416" i="1"/>
  <c r="H416" i="1" s="1"/>
  <c r="E415" i="1"/>
  <c r="H415" i="1" s="1"/>
  <c r="E414" i="1"/>
  <c r="H414" i="1" s="1"/>
  <c r="H413" i="1"/>
  <c r="E413" i="1"/>
  <c r="E412" i="1"/>
  <c r="H412" i="1" s="1"/>
  <c r="E411" i="1"/>
  <c r="H411" i="1" s="1"/>
  <c r="H410" i="1"/>
  <c r="E410" i="1"/>
  <c r="E409" i="1"/>
  <c r="H409" i="1" s="1"/>
  <c r="H408" i="1"/>
  <c r="E408" i="1"/>
  <c r="E407" i="1"/>
  <c r="H407" i="1" s="1"/>
  <c r="E406" i="1"/>
  <c r="H406" i="1" s="1"/>
  <c r="E405" i="1"/>
  <c r="H405" i="1" s="1"/>
  <c r="E404" i="1"/>
  <c r="H404" i="1" s="1"/>
  <c r="E403" i="1"/>
  <c r="H403" i="1" s="1"/>
  <c r="E402" i="1"/>
  <c r="H402" i="1" s="1"/>
  <c r="E401" i="1"/>
  <c r="H401" i="1" s="1"/>
  <c r="H400" i="1"/>
  <c r="E400" i="1"/>
  <c r="E399" i="1"/>
  <c r="H399" i="1" s="1"/>
  <c r="E398" i="1"/>
  <c r="H398" i="1" s="1"/>
  <c r="E397" i="1"/>
  <c r="H397" i="1" s="1"/>
  <c r="H396" i="1"/>
  <c r="E396" i="1"/>
  <c r="E395" i="1"/>
  <c r="H395" i="1" s="1"/>
  <c r="E394" i="1"/>
  <c r="H394" i="1" s="1"/>
  <c r="E393" i="1"/>
  <c r="H393" i="1" s="1"/>
  <c r="E392" i="1"/>
  <c r="H392" i="1" s="1"/>
  <c r="E391" i="1"/>
  <c r="H391" i="1" s="1"/>
  <c r="E390" i="1"/>
  <c r="H390" i="1" s="1"/>
  <c r="H389" i="1"/>
  <c r="E389" i="1"/>
  <c r="E388" i="1"/>
  <c r="H388" i="1" s="1"/>
  <c r="H387" i="1"/>
  <c r="E387" i="1"/>
  <c r="E386" i="1"/>
  <c r="H386" i="1" s="1"/>
  <c r="E385" i="1"/>
  <c r="H385" i="1" s="1"/>
  <c r="H384" i="1"/>
  <c r="E384" i="1"/>
  <c r="E383" i="1"/>
  <c r="H383" i="1" s="1"/>
  <c r="H382" i="1"/>
  <c r="E382" i="1"/>
  <c r="E381" i="1"/>
  <c r="H381" i="1" s="1"/>
  <c r="E380" i="1"/>
  <c r="H380" i="1" s="1"/>
  <c r="E379" i="1"/>
  <c r="H379" i="1" s="1"/>
  <c r="E378" i="1"/>
  <c r="H378" i="1" s="1"/>
  <c r="H377" i="1"/>
  <c r="E377" i="1"/>
  <c r="E376" i="1"/>
  <c r="H376" i="1" s="1"/>
  <c r="H375" i="1"/>
  <c r="E375" i="1"/>
  <c r="H374" i="1"/>
  <c r="E374" i="1"/>
  <c r="E373" i="1"/>
  <c r="H373" i="1" s="1"/>
  <c r="E372" i="1"/>
  <c r="H372" i="1" s="1"/>
  <c r="E371" i="1"/>
  <c r="H371" i="1" s="1"/>
  <c r="E370" i="1"/>
  <c r="H370" i="1" s="1"/>
  <c r="E369" i="1"/>
  <c r="H369" i="1" s="1"/>
  <c r="H368" i="1"/>
  <c r="E368" i="1"/>
  <c r="E367" i="1"/>
  <c r="H367" i="1" s="1"/>
  <c r="E366" i="1"/>
  <c r="H366" i="1" s="1"/>
  <c r="E365" i="1"/>
  <c r="H365" i="1" s="1"/>
  <c r="E364" i="1"/>
  <c r="H364" i="1" s="1"/>
  <c r="E363" i="1"/>
  <c r="H363" i="1" s="1"/>
  <c r="E362" i="1"/>
  <c r="H362" i="1" s="1"/>
  <c r="E361" i="1"/>
  <c r="H361" i="1" s="1"/>
  <c r="E360" i="1"/>
  <c r="H360" i="1" s="1"/>
  <c r="E359" i="1"/>
  <c r="H359" i="1" s="1"/>
  <c r="E358" i="1"/>
  <c r="H358" i="1" s="1"/>
  <c r="E357" i="1"/>
  <c r="H357" i="1" s="1"/>
  <c r="E356" i="1"/>
  <c r="H356" i="1" s="1"/>
  <c r="E355" i="1"/>
  <c r="H355" i="1" s="1"/>
  <c r="H354" i="1"/>
  <c r="E354" i="1"/>
  <c r="E353" i="1"/>
  <c r="H353" i="1" s="1"/>
  <c r="E352" i="1"/>
  <c r="H352" i="1" s="1"/>
  <c r="E351" i="1"/>
  <c r="H351" i="1" s="1"/>
  <c r="E350" i="1"/>
  <c r="H350" i="1" s="1"/>
  <c r="E349" i="1"/>
  <c r="H349" i="1" s="1"/>
  <c r="E348" i="1"/>
  <c r="H348" i="1" s="1"/>
  <c r="E347" i="1"/>
  <c r="H347" i="1" s="1"/>
  <c r="H346" i="1"/>
  <c r="E346" i="1"/>
  <c r="E345" i="1"/>
  <c r="H345" i="1" s="1"/>
  <c r="E344" i="1"/>
  <c r="H344" i="1" s="1"/>
  <c r="E343" i="1"/>
  <c r="H343" i="1" s="1"/>
  <c r="H342" i="1"/>
  <c r="E342" i="1"/>
  <c r="H341" i="1"/>
  <c r="E341" i="1"/>
  <c r="E340" i="1"/>
  <c r="H340" i="1" s="1"/>
  <c r="H339" i="1"/>
  <c r="E339" i="1"/>
  <c r="E338" i="1"/>
  <c r="H338" i="1" s="1"/>
  <c r="E337" i="1"/>
  <c r="H337" i="1" s="1"/>
  <c r="E336" i="1"/>
  <c r="H336" i="1" s="1"/>
  <c r="H335" i="1"/>
  <c r="E335" i="1"/>
  <c r="E334" i="1"/>
  <c r="H334" i="1" s="1"/>
  <c r="E333" i="1"/>
  <c r="H333" i="1" s="1"/>
  <c r="H332" i="1"/>
  <c r="E332" i="1"/>
  <c r="E331" i="1"/>
  <c r="H331" i="1" s="1"/>
  <c r="E330" i="1"/>
  <c r="H330" i="1" s="1"/>
  <c r="E329" i="1"/>
  <c r="H329" i="1" s="1"/>
  <c r="H328" i="1"/>
  <c r="E328" i="1"/>
  <c r="E327" i="1"/>
  <c r="H327" i="1" s="1"/>
  <c r="E326" i="1"/>
  <c r="H326" i="1" s="1"/>
  <c r="E325" i="1"/>
  <c r="H325" i="1" s="1"/>
  <c r="E324" i="1"/>
  <c r="H324" i="1" s="1"/>
  <c r="E323" i="1"/>
  <c r="H323" i="1" s="1"/>
  <c r="E322" i="1"/>
  <c r="H322" i="1" s="1"/>
  <c r="E321" i="1"/>
  <c r="H321" i="1" s="1"/>
  <c r="E320" i="1"/>
  <c r="H320" i="1" s="1"/>
  <c r="E319" i="1"/>
  <c r="H319" i="1" s="1"/>
  <c r="H318" i="1"/>
  <c r="E318" i="1"/>
  <c r="E317" i="1"/>
  <c r="H317" i="1" s="1"/>
  <c r="E316" i="1"/>
  <c r="H316" i="1" s="1"/>
  <c r="H315" i="1"/>
  <c r="E315" i="1"/>
  <c r="E314" i="1"/>
  <c r="H314" i="1" s="1"/>
  <c r="E313" i="1"/>
  <c r="H313" i="1" s="1"/>
  <c r="E312" i="1"/>
  <c r="H312" i="1" s="1"/>
  <c r="H311" i="1"/>
  <c r="E311" i="1"/>
  <c r="E310" i="1"/>
  <c r="H310" i="1" s="1"/>
  <c r="E309" i="1"/>
  <c r="H309" i="1" s="1"/>
  <c r="E308" i="1"/>
  <c r="H308" i="1" s="1"/>
  <c r="E307" i="1"/>
  <c r="H307" i="1" s="1"/>
  <c r="H306" i="1"/>
  <c r="E306" i="1"/>
  <c r="E305" i="1"/>
  <c r="H305" i="1" s="1"/>
  <c r="H304" i="1"/>
  <c r="E304" i="1"/>
  <c r="E303" i="1"/>
  <c r="H303" i="1" s="1"/>
  <c r="H302" i="1"/>
  <c r="E302" i="1"/>
  <c r="E301" i="1"/>
  <c r="H301" i="1" s="1"/>
  <c r="E300" i="1"/>
  <c r="H300" i="1" s="1"/>
  <c r="E299" i="1"/>
  <c r="H299" i="1" s="1"/>
  <c r="E298" i="1"/>
  <c r="H298" i="1" s="1"/>
  <c r="H297" i="1"/>
  <c r="E297" i="1"/>
  <c r="E296" i="1"/>
  <c r="H296" i="1" s="1"/>
  <c r="E295" i="1"/>
  <c r="H295" i="1" s="1"/>
  <c r="E294" i="1"/>
  <c r="H294" i="1" s="1"/>
  <c r="E293" i="1"/>
  <c r="H293" i="1" s="1"/>
  <c r="E292" i="1"/>
  <c r="H292" i="1" s="1"/>
  <c r="E291" i="1"/>
  <c r="H291" i="1" s="1"/>
  <c r="H290" i="1"/>
  <c r="E290" i="1"/>
  <c r="E289" i="1"/>
  <c r="H289" i="1" s="1"/>
  <c r="E288" i="1"/>
  <c r="H288" i="1" s="1"/>
  <c r="E287" i="1"/>
  <c r="H287" i="1" s="1"/>
  <c r="E286" i="1"/>
  <c r="H286" i="1" s="1"/>
  <c r="E285" i="1"/>
  <c r="H285" i="1" s="1"/>
  <c r="E284" i="1"/>
  <c r="H284" i="1" s="1"/>
  <c r="E283" i="1"/>
  <c r="H283" i="1" s="1"/>
  <c r="H282" i="1"/>
  <c r="E282" i="1"/>
  <c r="E281" i="1"/>
  <c r="H281" i="1" s="1"/>
  <c r="E280" i="1"/>
  <c r="H280" i="1" s="1"/>
  <c r="E279" i="1"/>
  <c r="H279" i="1" s="1"/>
  <c r="E278" i="1"/>
  <c r="H278" i="1" s="1"/>
  <c r="E277" i="1"/>
  <c r="H277" i="1" s="1"/>
  <c r="H276" i="1"/>
  <c r="E276" i="1"/>
  <c r="E275" i="1"/>
  <c r="H275" i="1" s="1"/>
  <c r="E274" i="1"/>
  <c r="H274" i="1" s="1"/>
  <c r="E273" i="1"/>
  <c r="H273" i="1" s="1"/>
  <c r="E272" i="1"/>
  <c r="H272" i="1" s="1"/>
  <c r="E271" i="1"/>
  <c r="H271" i="1" s="1"/>
  <c r="E270" i="1"/>
  <c r="H270" i="1" s="1"/>
  <c r="H269" i="1"/>
  <c r="E269" i="1"/>
  <c r="E268" i="1"/>
  <c r="H268" i="1" s="1"/>
  <c r="E267" i="1"/>
  <c r="H267" i="1" s="1"/>
  <c r="E266" i="1"/>
  <c r="H266" i="1" s="1"/>
  <c r="E265" i="1"/>
  <c r="H265" i="1" s="1"/>
  <c r="H264" i="1"/>
  <c r="E264" i="1"/>
  <c r="E263" i="1"/>
  <c r="H263" i="1" s="1"/>
  <c r="E262" i="1"/>
  <c r="H262" i="1" s="1"/>
  <c r="H261" i="1"/>
  <c r="E261" i="1"/>
  <c r="E260" i="1"/>
  <c r="H260" i="1" s="1"/>
  <c r="E259" i="1"/>
  <c r="H259" i="1" s="1"/>
  <c r="E258" i="1"/>
  <c r="H258" i="1" s="1"/>
  <c r="H257" i="1"/>
  <c r="E257" i="1"/>
  <c r="H256" i="1"/>
  <c r="E256" i="1"/>
  <c r="E255" i="1"/>
  <c r="H255" i="1" s="1"/>
  <c r="H254" i="1"/>
  <c r="E254" i="1"/>
  <c r="E253" i="1"/>
  <c r="H253" i="1" s="1"/>
  <c r="E252" i="1"/>
  <c r="H252" i="1" s="1"/>
  <c r="E251" i="1"/>
  <c r="H251" i="1" s="1"/>
  <c r="H250" i="1"/>
  <c r="E250" i="1"/>
  <c r="E249" i="1"/>
  <c r="H249" i="1" s="1"/>
  <c r="E248" i="1"/>
  <c r="H248" i="1" s="1"/>
  <c r="E247" i="1"/>
  <c r="H247" i="1" s="1"/>
  <c r="E246" i="1"/>
  <c r="H246" i="1" s="1"/>
  <c r="E245" i="1"/>
  <c r="H245" i="1" s="1"/>
  <c r="E244" i="1"/>
  <c r="H244" i="1" s="1"/>
  <c r="H243" i="1"/>
  <c r="E243" i="1"/>
  <c r="E242" i="1"/>
  <c r="H242" i="1" s="1"/>
  <c r="E241" i="1"/>
  <c r="H241" i="1" s="1"/>
  <c r="H240" i="1"/>
  <c r="E240" i="1"/>
  <c r="E239" i="1"/>
  <c r="H239" i="1" s="1"/>
  <c r="E238" i="1"/>
  <c r="H238" i="1" s="1"/>
  <c r="E237" i="1"/>
  <c r="H237" i="1" s="1"/>
  <c r="E236" i="1"/>
  <c r="H236" i="1" s="1"/>
  <c r="E235" i="1"/>
  <c r="H235" i="1" s="1"/>
  <c r="E234" i="1"/>
  <c r="H234" i="1" s="1"/>
  <c r="H233" i="1"/>
  <c r="E233" i="1"/>
  <c r="E232" i="1"/>
  <c r="H232" i="1" s="1"/>
  <c r="E231" i="1"/>
  <c r="H231" i="1" s="1"/>
  <c r="H230" i="1"/>
  <c r="E230" i="1"/>
  <c r="E229" i="1"/>
  <c r="H229" i="1" s="1"/>
  <c r="E228" i="1"/>
  <c r="H228" i="1" s="1"/>
  <c r="E227" i="1"/>
  <c r="H227" i="1" s="1"/>
  <c r="H226" i="1"/>
  <c r="E226" i="1"/>
  <c r="E225" i="1"/>
  <c r="H225" i="1" s="1"/>
  <c r="E224" i="1"/>
  <c r="H224" i="1" s="1"/>
  <c r="E223" i="1"/>
  <c r="H223" i="1" s="1"/>
  <c r="E222" i="1"/>
  <c r="H222" i="1" s="1"/>
  <c r="E221" i="1"/>
  <c r="H221" i="1" s="1"/>
  <c r="E220" i="1"/>
  <c r="H220" i="1" s="1"/>
  <c r="H219" i="1"/>
  <c r="E219" i="1"/>
  <c r="E218" i="1"/>
  <c r="H218" i="1" s="1"/>
  <c r="E217" i="1"/>
  <c r="H217" i="1" s="1"/>
  <c r="E216" i="1"/>
  <c r="H216" i="1" s="1"/>
  <c r="E215" i="1"/>
  <c r="H215" i="1" s="1"/>
  <c r="E214" i="1"/>
  <c r="H214" i="1" s="1"/>
  <c r="E213" i="1"/>
  <c r="H213" i="1" s="1"/>
  <c r="H212" i="1"/>
  <c r="E212" i="1"/>
  <c r="E211" i="1"/>
  <c r="H211" i="1" s="1"/>
  <c r="H210" i="1"/>
  <c r="E210" i="1"/>
  <c r="E209" i="1"/>
  <c r="H209" i="1" s="1"/>
  <c r="E208" i="1"/>
  <c r="H208" i="1" s="1"/>
  <c r="E207" i="1"/>
  <c r="H207" i="1" s="1"/>
  <c r="E206" i="1"/>
  <c r="H206" i="1" s="1"/>
  <c r="E205" i="1"/>
  <c r="H205" i="1" s="1"/>
  <c r="E204" i="1"/>
  <c r="H204" i="1" s="1"/>
  <c r="E203" i="1"/>
  <c r="H203" i="1" s="1"/>
  <c r="E202" i="1"/>
  <c r="H202" i="1" s="1"/>
  <c r="E201" i="1"/>
  <c r="H201" i="1" s="1"/>
  <c r="E200" i="1"/>
  <c r="H200" i="1" s="1"/>
  <c r="E199" i="1"/>
  <c r="H199" i="1" s="1"/>
  <c r="H198" i="1"/>
  <c r="E198" i="1"/>
  <c r="H197" i="1"/>
  <c r="E197" i="1"/>
  <c r="E196" i="1"/>
  <c r="H196" i="1" s="1"/>
  <c r="E195" i="1"/>
  <c r="H195" i="1" s="1"/>
  <c r="E194" i="1"/>
  <c r="H194" i="1" s="1"/>
  <c r="E193" i="1"/>
  <c r="H193" i="1" s="1"/>
  <c r="E192" i="1"/>
  <c r="H192" i="1" s="1"/>
  <c r="H191" i="1"/>
  <c r="E191" i="1"/>
  <c r="E190" i="1"/>
  <c r="H190" i="1" s="1"/>
  <c r="E189" i="1"/>
  <c r="H189" i="1" s="1"/>
  <c r="E188" i="1"/>
  <c r="H188" i="1" s="1"/>
  <c r="E187" i="1"/>
  <c r="H187" i="1" s="1"/>
  <c r="H186" i="1"/>
  <c r="E186" i="1"/>
  <c r="E185" i="1"/>
  <c r="H185" i="1" s="1"/>
  <c r="H184" i="1"/>
  <c r="E184" i="1"/>
  <c r="E183" i="1"/>
  <c r="H183" i="1" s="1"/>
  <c r="E182" i="1"/>
  <c r="H182" i="1" s="1"/>
  <c r="E181" i="1"/>
  <c r="H181" i="1" s="1"/>
  <c r="E180" i="1"/>
  <c r="H180" i="1" s="1"/>
  <c r="H179" i="1"/>
  <c r="E179" i="1"/>
  <c r="E178" i="1"/>
  <c r="H178" i="1" s="1"/>
  <c r="E177" i="1"/>
  <c r="H177" i="1" s="1"/>
  <c r="H176" i="1"/>
  <c r="E176" i="1"/>
  <c r="E175" i="1"/>
  <c r="H175" i="1" s="1"/>
  <c r="E174" i="1"/>
  <c r="H174" i="1" s="1"/>
  <c r="E173" i="1"/>
  <c r="H173" i="1" s="1"/>
  <c r="H172" i="1"/>
  <c r="E172" i="1"/>
  <c r="H171" i="1"/>
  <c r="E171" i="1"/>
  <c r="E170" i="1"/>
  <c r="H170" i="1" s="1"/>
  <c r="E169" i="1"/>
  <c r="H169" i="1" s="1"/>
  <c r="E168" i="1"/>
  <c r="H168" i="1" s="1"/>
  <c r="E167" i="1"/>
  <c r="H167" i="1" s="1"/>
  <c r="E166" i="1"/>
  <c r="H166" i="1" s="1"/>
  <c r="H165" i="1"/>
  <c r="E165" i="1"/>
  <c r="E164" i="1"/>
  <c r="H164" i="1" s="1"/>
  <c r="E163" i="1"/>
  <c r="H163" i="1" s="1"/>
  <c r="H162" i="1"/>
  <c r="E162" i="1"/>
  <c r="E161" i="1"/>
  <c r="H161" i="1" s="1"/>
  <c r="E160" i="1"/>
  <c r="H160" i="1" s="1"/>
  <c r="E159" i="1"/>
  <c r="H159" i="1" s="1"/>
  <c r="H158" i="1"/>
  <c r="E158" i="1"/>
  <c r="E157" i="1"/>
  <c r="H157" i="1" s="1"/>
  <c r="E156" i="1"/>
  <c r="H156" i="1" s="1"/>
  <c r="H155" i="1"/>
  <c r="E155" i="1"/>
  <c r="E154" i="1"/>
  <c r="H154" i="1" s="1"/>
  <c r="E153" i="1"/>
  <c r="H153" i="1" s="1"/>
  <c r="E152" i="1"/>
  <c r="H152" i="1" s="1"/>
  <c r="E151" i="1"/>
  <c r="H151" i="1" s="1"/>
  <c r="E150" i="1"/>
  <c r="H150" i="1" s="1"/>
  <c r="H149" i="1"/>
  <c r="E149" i="1"/>
  <c r="E148" i="1"/>
  <c r="H148" i="1" s="1"/>
  <c r="E147" i="1"/>
  <c r="H147" i="1" s="1"/>
  <c r="E146" i="1"/>
  <c r="H146" i="1" s="1"/>
  <c r="E145" i="1"/>
  <c r="H145" i="1" s="1"/>
  <c r="E144" i="1"/>
  <c r="H144" i="1" s="1"/>
  <c r="E143" i="1"/>
  <c r="H143" i="1" s="1"/>
  <c r="H142" i="1"/>
  <c r="E142" i="1"/>
  <c r="E141" i="1"/>
  <c r="H141" i="1" s="1"/>
  <c r="E140" i="1"/>
  <c r="H140" i="1" s="1"/>
  <c r="E139" i="1"/>
  <c r="H139" i="1" s="1"/>
  <c r="H138" i="1"/>
  <c r="E138" i="1"/>
  <c r="E137" i="1"/>
  <c r="H137" i="1" s="1"/>
  <c r="E136" i="1"/>
  <c r="H136" i="1" s="1"/>
  <c r="H135" i="1"/>
  <c r="E135" i="1"/>
  <c r="E134" i="1"/>
  <c r="H134" i="1" s="1"/>
  <c r="E133" i="1"/>
  <c r="H133" i="1" s="1"/>
  <c r="E132" i="1"/>
  <c r="H132" i="1" s="1"/>
  <c r="E131" i="1"/>
  <c r="H131" i="1" s="1"/>
  <c r="E130" i="1"/>
  <c r="H130" i="1" s="1"/>
  <c r="E129" i="1"/>
  <c r="H129" i="1" s="1"/>
  <c r="H128" i="1"/>
  <c r="E128" i="1"/>
  <c r="E127" i="1"/>
  <c r="H127" i="1" s="1"/>
  <c r="E126" i="1"/>
  <c r="H126" i="1" s="1"/>
  <c r="H125" i="1"/>
  <c r="E125" i="1"/>
  <c r="H124" i="1"/>
  <c r="E124" i="1"/>
  <c r="E123" i="1"/>
  <c r="H123" i="1" s="1"/>
  <c r="H122" i="1"/>
  <c r="E122" i="1"/>
  <c r="E121" i="1"/>
  <c r="H121" i="1" s="1"/>
  <c r="E120" i="1"/>
  <c r="H120" i="1" s="1"/>
  <c r="E119" i="1"/>
  <c r="H119" i="1" s="1"/>
  <c r="E118" i="1"/>
  <c r="H118" i="1" s="1"/>
  <c r="H117" i="1"/>
  <c r="E117" i="1"/>
  <c r="E116" i="1"/>
  <c r="H116" i="1" s="1"/>
  <c r="E115" i="1"/>
  <c r="H115" i="1" s="1"/>
  <c r="H114" i="1"/>
  <c r="E114" i="1"/>
  <c r="E113" i="1"/>
  <c r="H113" i="1" s="1"/>
  <c r="H112" i="1"/>
  <c r="E112" i="1"/>
  <c r="E111" i="1"/>
  <c r="H111" i="1" s="1"/>
  <c r="E110" i="1"/>
  <c r="H110" i="1" s="1"/>
  <c r="E109" i="1"/>
  <c r="H109" i="1" s="1"/>
  <c r="H108" i="1"/>
  <c r="E108" i="1"/>
  <c r="E107" i="1"/>
  <c r="H107" i="1" s="1"/>
  <c r="E106" i="1"/>
  <c r="H106" i="1" s="1"/>
  <c r="E105" i="1"/>
  <c r="H105" i="1" s="1"/>
  <c r="E104" i="1"/>
  <c r="H104" i="1" s="1"/>
  <c r="E103" i="1"/>
  <c r="H103" i="1" s="1"/>
  <c r="E102" i="1"/>
  <c r="H102" i="1" s="1"/>
  <c r="H101" i="1"/>
  <c r="E101" i="1"/>
  <c r="E100" i="1"/>
  <c r="H100" i="1" s="1"/>
  <c r="H99" i="1"/>
  <c r="E99" i="1"/>
  <c r="E98" i="1"/>
  <c r="H98" i="1" s="1"/>
  <c r="E97" i="1"/>
  <c r="H97" i="1" s="1"/>
  <c r="E96" i="1"/>
  <c r="H96" i="1" s="1"/>
  <c r="E95" i="1"/>
  <c r="H95" i="1" s="1"/>
  <c r="H94" i="1"/>
  <c r="E94" i="1"/>
  <c r="E93" i="1"/>
  <c r="H93" i="1" s="1"/>
  <c r="E92" i="1"/>
  <c r="H92" i="1" s="1"/>
  <c r="E91" i="1"/>
  <c r="H91" i="1" s="1"/>
  <c r="H90" i="1"/>
  <c r="E90" i="1"/>
  <c r="E89" i="1"/>
  <c r="H89" i="1" s="1"/>
  <c r="H88" i="1"/>
  <c r="E88" i="1"/>
  <c r="E87" i="1"/>
  <c r="H87" i="1" s="1"/>
  <c r="E86" i="1"/>
  <c r="H86" i="1" s="1"/>
  <c r="E85" i="1"/>
  <c r="H85" i="1" s="1"/>
  <c r="E84" i="1"/>
  <c r="H84" i="1" s="1"/>
  <c r="E83" i="1"/>
  <c r="H83" i="1" s="1"/>
  <c r="E82" i="1"/>
  <c r="H82" i="1" s="1"/>
  <c r="H81" i="1"/>
  <c r="E81" i="1"/>
  <c r="E80" i="1"/>
  <c r="H80" i="1" s="1"/>
  <c r="E79" i="1"/>
  <c r="H79" i="1" s="1"/>
  <c r="E78" i="1"/>
  <c r="H78" i="1" s="1"/>
  <c r="H77" i="1"/>
  <c r="E77" i="1"/>
  <c r="E76" i="1"/>
  <c r="H76" i="1" s="1"/>
  <c r="H75" i="1"/>
  <c r="E75" i="1"/>
  <c r="E74" i="1"/>
  <c r="H74" i="1" s="1"/>
  <c r="E73" i="1"/>
  <c r="H73" i="1" s="1"/>
  <c r="E72" i="1"/>
  <c r="H72" i="1" s="1"/>
  <c r="E71" i="1"/>
  <c r="H71" i="1" s="1"/>
  <c r="E70" i="1"/>
  <c r="H70" i="1" s="1"/>
  <c r="E69" i="1"/>
  <c r="H69" i="1" s="1"/>
  <c r="E68" i="1"/>
  <c r="H68" i="1" s="1"/>
  <c r="E67" i="1"/>
  <c r="H67" i="1" s="1"/>
  <c r="E66" i="1"/>
  <c r="H66" i="1" s="1"/>
  <c r="E65" i="1"/>
  <c r="H65" i="1" s="1"/>
  <c r="H64" i="1"/>
  <c r="E64" i="1"/>
  <c r="E63" i="1"/>
  <c r="H63" i="1" s="1"/>
  <c r="E62" i="1"/>
  <c r="H62" i="1" s="1"/>
  <c r="H61" i="1"/>
  <c r="E61" i="1"/>
  <c r="E60" i="1"/>
  <c r="H60" i="1" s="1"/>
  <c r="E59" i="1"/>
  <c r="H59" i="1" s="1"/>
  <c r="E58" i="1"/>
  <c r="H58" i="1" s="1"/>
  <c r="E57" i="1"/>
  <c r="H57" i="1" s="1"/>
  <c r="E56" i="1"/>
  <c r="H56" i="1" s="1"/>
  <c r="H55" i="1"/>
  <c r="E55" i="1"/>
  <c r="E54" i="1"/>
  <c r="H54" i="1" s="1"/>
  <c r="E53" i="1"/>
  <c r="H53" i="1" s="1"/>
  <c r="E52" i="1"/>
  <c r="H52" i="1" s="1"/>
  <c r="H51" i="1"/>
  <c r="E51" i="1"/>
  <c r="E50" i="1"/>
  <c r="H50" i="1" s="1"/>
  <c r="E49" i="1"/>
  <c r="H49" i="1" s="1"/>
  <c r="H48" i="1"/>
  <c r="E48" i="1"/>
  <c r="E47" i="1"/>
  <c r="H47" i="1" s="1"/>
  <c r="E46" i="1"/>
  <c r="H46" i="1" s="1"/>
  <c r="E45" i="1"/>
  <c r="H45" i="1" s="1"/>
  <c r="E44" i="1"/>
  <c r="H44" i="1" s="1"/>
  <c r="E43" i="1"/>
  <c r="H43" i="1" s="1"/>
  <c r="H42" i="1"/>
  <c r="E42" i="1"/>
  <c r="E41" i="1"/>
  <c r="H41" i="1" s="1"/>
  <c r="E40" i="1"/>
  <c r="H40" i="1" s="1"/>
  <c r="E39" i="1"/>
  <c r="H39" i="1" s="1"/>
  <c r="E38" i="1"/>
  <c r="H38" i="1" s="1"/>
  <c r="E37" i="1"/>
  <c r="H37" i="1" s="1"/>
  <c r="E36" i="1"/>
  <c r="H36" i="1" s="1"/>
  <c r="H35" i="1"/>
  <c r="E35" i="1"/>
  <c r="E34" i="1"/>
  <c r="H34" i="1" s="1"/>
  <c r="E33" i="1"/>
  <c r="H33" i="1" s="1"/>
  <c r="E32" i="1"/>
  <c r="H32" i="1" s="1"/>
  <c r="H31" i="1"/>
  <c r="E31" i="1"/>
  <c r="E30" i="1"/>
  <c r="H30" i="1" s="1"/>
  <c r="H29" i="1"/>
  <c r="E29" i="1"/>
  <c r="E28" i="1"/>
  <c r="H28" i="1" s="1"/>
  <c r="E27" i="1"/>
  <c r="H27" i="1" s="1"/>
  <c r="E26" i="1"/>
  <c r="H26" i="1" s="1"/>
  <c r="E25" i="1"/>
  <c r="H25" i="1" s="1"/>
  <c r="E24" i="1"/>
  <c r="H24" i="1" s="1"/>
  <c r="E23" i="1"/>
  <c r="H23" i="1" s="1"/>
  <c r="H22" i="1"/>
  <c r="E22" i="1"/>
  <c r="E21" i="1"/>
  <c r="H21" i="1" s="1"/>
  <c r="E20" i="1"/>
  <c r="H20" i="1" s="1"/>
  <c r="E19" i="1"/>
  <c r="H19" i="1" s="1"/>
  <c r="H18" i="1"/>
  <c r="E18" i="1"/>
  <c r="E17" i="1"/>
  <c r="H17" i="1" s="1"/>
  <c r="H16" i="1"/>
  <c r="E16" i="1"/>
  <c r="E15" i="1"/>
  <c r="H15" i="1" s="1"/>
  <c r="E14" i="1"/>
  <c r="H14" i="1" s="1"/>
  <c r="E13" i="1"/>
  <c r="H13" i="1" s="1"/>
  <c r="E12" i="1"/>
  <c r="H12" i="1" s="1"/>
  <c r="E11" i="1"/>
  <c r="H11" i="1" s="1"/>
  <c r="E10" i="1"/>
  <c r="H10" i="1" s="1"/>
  <c r="H9" i="1"/>
  <c r="E9" i="1"/>
  <c r="E8" i="1"/>
  <c r="H8" i="1" s="1"/>
  <c r="E7" i="1"/>
  <c r="H7" i="1" s="1"/>
  <c r="E6" i="1"/>
  <c r="H6" i="1" s="1"/>
  <c r="H5" i="1"/>
  <c r="E5" i="1"/>
  <c r="E4" i="1"/>
  <c r="H4" i="1" s="1"/>
  <c r="H3" i="1"/>
  <c r="E3" i="1"/>
  <c r="E2" i="1"/>
  <c r="H2" i="1" s="1"/>
  <c r="A21" i="3" l="1"/>
  <c r="B8" i="3"/>
  <c r="A8" i="3"/>
  <c r="B9" i="3"/>
  <c r="A6" i="3"/>
  <c r="A9" i="3"/>
  <c r="B10" i="3"/>
  <c r="B6" i="3"/>
  <c r="B7" i="3"/>
  <c r="A11" i="3"/>
  <c r="B11" i="3"/>
  <c r="B5" i="3"/>
  <c r="A13" i="3"/>
  <c r="A15" i="3"/>
  <c r="A16" i="3"/>
  <c r="A14" i="3"/>
  <c r="A3" i="3"/>
  <c r="A12" i="3"/>
  <c r="A22" i="3"/>
  <c r="A10" i="3"/>
  <c r="A18" i="3"/>
  <c r="A4" i="3"/>
  <c r="A19" i="3"/>
  <c r="A5" i="3"/>
  <c r="A20" i="3"/>
  <c r="A7" i="3"/>
  <c r="A23" i="3"/>
  <c r="B3" i="3"/>
</calcChain>
</file>

<file path=xl/sharedStrings.xml><?xml version="1.0" encoding="utf-8"?>
<sst xmlns="http://schemas.openxmlformats.org/spreadsheetml/2006/main" count="2214" uniqueCount="551">
  <si>
    <t>Customer Name</t>
  </si>
  <si>
    <t>State</t>
  </si>
  <si>
    <t>Product</t>
  </si>
  <si>
    <t xml:space="preserve">Units Sold </t>
  </si>
  <si>
    <t>Unit Cost</t>
  </si>
  <si>
    <t>Unit Price</t>
  </si>
  <si>
    <t>Total Sales</t>
  </si>
  <si>
    <t>Profit</t>
  </si>
  <si>
    <t>Sale Date</t>
  </si>
  <si>
    <t>Sales Channel</t>
  </si>
  <si>
    <t>Not Provided</t>
  </si>
  <si>
    <t>Rivers</t>
  </si>
  <si>
    <t>Keyboard</t>
  </si>
  <si>
    <t>Online</t>
  </si>
  <si>
    <t>Allison Hill</t>
  </si>
  <si>
    <t>Lagos</t>
  </si>
  <si>
    <t>Headphones</t>
  </si>
  <si>
    <t>Wholesale</t>
  </si>
  <si>
    <t>Noah Rhodes</t>
  </si>
  <si>
    <t>Anambra</t>
  </si>
  <si>
    <t>Angie Henderson</t>
  </si>
  <si>
    <t>Delta</t>
  </si>
  <si>
    <t>Daniel Wagner</t>
  </si>
  <si>
    <t>Tablet</t>
  </si>
  <si>
    <t>Cristian Santos</t>
  </si>
  <si>
    <t>Oyo</t>
  </si>
  <si>
    <t>Camera</t>
  </si>
  <si>
    <t>Direct</t>
  </si>
  <si>
    <t>Connie Lawrence</t>
  </si>
  <si>
    <t>Abigail Shaffer</t>
  </si>
  <si>
    <t>Imo</t>
  </si>
  <si>
    <t>Gina Moore</t>
  </si>
  <si>
    <t>Kano</t>
  </si>
  <si>
    <t>Gabrielle Davis</t>
  </si>
  <si>
    <t>Plateau</t>
  </si>
  <si>
    <t>Ryan Munoz</t>
  </si>
  <si>
    <t>Niger</t>
  </si>
  <si>
    <t>Monica Herrera</t>
  </si>
  <si>
    <t>Abuja</t>
  </si>
  <si>
    <t>Laptop</t>
  </si>
  <si>
    <t>Retail</t>
  </si>
  <si>
    <t>Jamie Arnold</t>
  </si>
  <si>
    <t>Lisa Hensley</t>
  </si>
  <si>
    <t>Enugu</t>
  </si>
  <si>
    <t>Michele Williams</t>
  </si>
  <si>
    <t>Charger</t>
  </si>
  <si>
    <t>Dylan Miller</t>
  </si>
  <si>
    <t>Bauchi</t>
  </si>
  <si>
    <t>Brian Ramirez</t>
  </si>
  <si>
    <t>Katsina</t>
  </si>
  <si>
    <t>Holly Wood</t>
  </si>
  <si>
    <t>Derek Zuniga</t>
  </si>
  <si>
    <t>Lisa Jackson</t>
  </si>
  <si>
    <t>Carla Gray</t>
  </si>
  <si>
    <t>Monitor</t>
  </si>
  <si>
    <t>Margaret Hawkins DDS</t>
  </si>
  <si>
    <t>Patty Perez</t>
  </si>
  <si>
    <t>Ethan Adams</t>
  </si>
  <si>
    <t>Ekiti</t>
  </si>
  <si>
    <t>Tommy Walter</t>
  </si>
  <si>
    <t>Matthew Foster</t>
  </si>
  <si>
    <t>Judy Baker</t>
  </si>
  <si>
    <t>Kaduna</t>
  </si>
  <si>
    <t>Justin Baker</t>
  </si>
  <si>
    <t>Stephanie Ross</t>
  </si>
  <si>
    <t>Sokoto</t>
  </si>
  <si>
    <t>Phone</t>
  </si>
  <si>
    <t>Zachary Hicks</t>
  </si>
  <si>
    <t>Anthony Rodriguez</t>
  </si>
  <si>
    <t>Rebecca Henderson</t>
  </si>
  <si>
    <t>James Ferrell</t>
  </si>
  <si>
    <t>Tricia Valencia</t>
  </si>
  <si>
    <t>Nathan Maldonado</t>
  </si>
  <si>
    <t>Debra Davidson</t>
  </si>
  <si>
    <t>Benue</t>
  </si>
  <si>
    <t>Jeffrey Chavez</t>
  </si>
  <si>
    <t>Osun</t>
  </si>
  <si>
    <t>Sherri Baker</t>
  </si>
  <si>
    <t>Cassandra Gaines</t>
  </si>
  <si>
    <t>Elizabeth Fowler</t>
  </si>
  <si>
    <t>Brittany Farmer</t>
  </si>
  <si>
    <t>Paula Moreno</t>
  </si>
  <si>
    <t>Fred Smith</t>
  </si>
  <si>
    <t>Sherry Decker</t>
  </si>
  <si>
    <t>Anthony Humphrey</t>
  </si>
  <si>
    <t>Angelica Tucker</t>
  </si>
  <si>
    <t>Philip Cannon</t>
  </si>
  <si>
    <t>John Pierce</t>
  </si>
  <si>
    <t>Borno</t>
  </si>
  <si>
    <t>Shane Henderson</t>
  </si>
  <si>
    <t>Joshua Blair</t>
  </si>
  <si>
    <t>Eric Carney</t>
  </si>
  <si>
    <t>Jessica Holmes</t>
  </si>
  <si>
    <t>Danny Morgan</t>
  </si>
  <si>
    <t>Crystal Robinson</t>
  </si>
  <si>
    <t>Mark Perez</t>
  </si>
  <si>
    <t>Shannon Jones</t>
  </si>
  <si>
    <t>Michael Lewis</t>
  </si>
  <si>
    <t>Timothy Duncan</t>
  </si>
  <si>
    <t>Richard Aguirre</t>
  </si>
  <si>
    <t>Brent Jordan</t>
  </si>
  <si>
    <t>John Daniel</t>
  </si>
  <si>
    <t>Victoria Garcia</t>
  </si>
  <si>
    <t>Gerald Hensley</t>
  </si>
  <si>
    <t>Connor West</t>
  </si>
  <si>
    <t>Donald Wright</t>
  </si>
  <si>
    <t>Jessica Callahan</t>
  </si>
  <si>
    <t>Amber Kidd</t>
  </si>
  <si>
    <t>Tracy House</t>
  </si>
  <si>
    <t>Carol Tucker</t>
  </si>
  <si>
    <t>James Brown</t>
  </si>
  <si>
    <t>William Baker</t>
  </si>
  <si>
    <t>Jordan Henderson</t>
  </si>
  <si>
    <t>Whitney Peters</t>
  </si>
  <si>
    <t>Brittney Phillips</t>
  </si>
  <si>
    <t>Lauren Daniels</t>
  </si>
  <si>
    <t>Amy Silva</t>
  </si>
  <si>
    <t>Sarah Moore</t>
  </si>
  <si>
    <t>Angela Lopez</t>
  </si>
  <si>
    <t>Megan Young</t>
  </si>
  <si>
    <t>Steve Sanchez</t>
  </si>
  <si>
    <t>Lisa Barnes</t>
  </si>
  <si>
    <t>Kelly Donovan</t>
  </si>
  <si>
    <t>Mike Allen</t>
  </si>
  <si>
    <t>Michael Evans</t>
  </si>
  <si>
    <t>Paul Jones</t>
  </si>
  <si>
    <t>Zachary Ferrell</t>
  </si>
  <si>
    <t>Daniel Baker</t>
  </si>
  <si>
    <t>Shirley Suarez</t>
  </si>
  <si>
    <t>Cross River</t>
  </si>
  <si>
    <t>Christopher Bass</t>
  </si>
  <si>
    <t>Lisa Archer</t>
  </si>
  <si>
    <t>Aimee Montoya</t>
  </si>
  <si>
    <t>Matthew Mcmillan</t>
  </si>
  <si>
    <t>Brian Rodriguez</t>
  </si>
  <si>
    <t>Denise Jacobs</t>
  </si>
  <si>
    <t>Christina Walters</t>
  </si>
  <si>
    <t>John Whitehead</t>
  </si>
  <si>
    <t>Anna Henderson</t>
  </si>
  <si>
    <t>Aaron Wise</t>
  </si>
  <si>
    <t>Deborah Figueroa</t>
  </si>
  <si>
    <t>Jessica Smith</t>
  </si>
  <si>
    <t>Stephen Mckee</t>
  </si>
  <si>
    <t>Sandra Aguilar</t>
  </si>
  <si>
    <t>Cameron Parker</t>
  </si>
  <si>
    <t>Rebecca Valencia</t>
  </si>
  <si>
    <t>Christine Wright</t>
  </si>
  <si>
    <t>Richard Henson</t>
  </si>
  <si>
    <t>Marc Moore</t>
  </si>
  <si>
    <t>Sharon Cherry</t>
  </si>
  <si>
    <t>Sierra Johnson</t>
  </si>
  <si>
    <t>Evelyn Galvan</t>
  </si>
  <si>
    <t>Sharon Cochran</t>
  </si>
  <si>
    <t>Richard Rodriguez</t>
  </si>
  <si>
    <t>Shannon Walker</t>
  </si>
  <si>
    <t>Julia Torres</t>
  </si>
  <si>
    <t>Crystal Johnson</t>
  </si>
  <si>
    <t>Garrett Lin</t>
  </si>
  <si>
    <t>Diana May</t>
  </si>
  <si>
    <t>William Herrera</t>
  </si>
  <si>
    <t>Ashley Waller</t>
  </si>
  <si>
    <t>Victor Baker</t>
  </si>
  <si>
    <t>Jeffrey Chandler</t>
  </si>
  <si>
    <t>Larry Dixon</t>
  </si>
  <si>
    <t>Kenneth Scott</t>
  </si>
  <si>
    <t>April Frost</t>
  </si>
  <si>
    <t>Michelle Harmon</t>
  </si>
  <si>
    <t>Helen Jones</t>
  </si>
  <si>
    <t>Erin Edwards</t>
  </si>
  <si>
    <t>Michelle Evans</t>
  </si>
  <si>
    <t>Jason Powell</t>
  </si>
  <si>
    <t>Cameron Fisher</t>
  </si>
  <si>
    <t>Megan Orr</t>
  </si>
  <si>
    <t>Elizabeth Kelley</t>
  </si>
  <si>
    <t>Dustin Jordan</t>
  </si>
  <si>
    <t>Mary Marshall</t>
  </si>
  <si>
    <t>Daniel Kennedy</t>
  </si>
  <si>
    <t>Rebecca Jackson</t>
  </si>
  <si>
    <t>Jose Schultz</t>
  </si>
  <si>
    <t>Robert Potter</t>
  </si>
  <si>
    <t>Courtney Gonzalez</t>
  </si>
  <si>
    <t>David Alvarez</t>
  </si>
  <si>
    <t>Angel Perry</t>
  </si>
  <si>
    <t>Cheyenne Horton</t>
  </si>
  <si>
    <t>David Douglas Jr.</t>
  </si>
  <si>
    <t>Patricia Rodriguez</t>
  </si>
  <si>
    <t>Christopher Rubio</t>
  </si>
  <si>
    <t>Amber Wright</t>
  </si>
  <si>
    <t>Joyce Solis</t>
  </si>
  <si>
    <t>Victoria Larson</t>
  </si>
  <si>
    <t>Stephanie Salazar</t>
  </si>
  <si>
    <t>Kathy Rivas</t>
  </si>
  <si>
    <t>Stephanie Manning</t>
  </si>
  <si>
    <t>David Wright</t>
  </si>
  <si>
    <t>Pamela Boyd</t>
  </si>
  <si>
    <t>Denise Jones</t>
  </si>
  <si>
    <t>Devon Flores</t>
  </si>
  <si>
    <t>Brenda Hall</t>
  </si>
  <si>
    <t>Michelle Brown</t>
  </si>
  <si>
    <t>Joshua Perry</t>
  </si>
  <si>
    <t>Jason Stein</t>
  </si>
  <si>
    <t>Melissa Gates</t>
  </si>
  <si>
    <t>Jamie Smith</t>
  </si>
  <si>
    <t>Paul Castaneda</t>
  </si>
  <si>
    <t>Jennifer Adkins</t>
  </si>
  <si>
    <t>Lindsey Walker</t>
  </si>
  <si>
    <t>Jeffrey Johnson</t>
  </si>
  <si>
    <t>Michael Powell</t>
  </si>
  <si>
    <t>John Anderson</t>
  </si>
  <si>
    <t>Alyssa Long</t>
  </si>
  <si>
    <t>Alyssa Day</t>
  </si>
  <si>
    <t>Joel Williams</t>
  </si>
  <si>
    <t>Daniel Murphy</t>
  </si>
  <si>
    <t>Jamie Walton</t>
  </si>
  <si>
    <t>Darlene Miller</t>
  </si>
  <si>
    <t>Joshua Cooke</t>
  </si>
  <si>
    <t>Matthew Harrington</t>
  </si>
  <si>
    <t>Nicole Herring</t>
  </si>
  <si>
    <t>Alex Hernandez</t>
  </si>
  <si>
    <t>Michael Elliott</t>
  </si>
  <si>
    <t>Michael Wang</t>
  </si>
  <si>
    <t>Lawrence Adkins</t>
  </si>
  <si>
    <t>Robert Oconnell</t>
  </si>
  <si>
    <t>Alexander Collins</t>
  </si>
  <si>
    <t>Tina Sanders</t>
  </si>
  <si>
    <t>Angela Vaughn</t>
  </si>
  <si>
    <t>Ashley Barton</t>
  </si>
  <si>
    <t>Lindsay Martinez</t>
  </si>
  <si>
    <t>Dr. Hannah Patterson</t>
  </si>
  <si>
    <t>Jonathan Peterson</t>
  </si>
  <si>
    <t>Samantha Garcia</t>
  </si>
  <si>
    <t>Madison Poole</t>
  </si>
  <si>
    <t>Jessica Gross</t>
  </si>
  <si>
    <t>Debra Morton</t>
  </si>
  <si>
    <t>Karen Graham</t>
  </si>
  <si>
    <t>Debra Christian</t>
  </si>
  <si>
    <t>Angelica Keith</t>
  </si>
  <si>
    <t>John Bishop</t>
  </si>
  <si>
    <t>Allen Rosales</t>
  </si>
  <si>
    <t>Daniel Salinas</t>
  </si>
  <si>
    <t>Spencer Haynes</t>
  </si>
  <si>
    <t>Adam Vaughan</t>
  </si>
  <si>
    <t>Nathan Freeman</t>
  </si>
  <si>
    <t>Melissa Brewer</t>
  </si>
  <si>
    <t>Ricky Davis II</t>
  </si>
  <si>
    <t>Elizabeth Perkins</t>
  </si>
  <si>
    <t>Joseph Coleman</t>
  </si>
  <si>
    <t>Erin Warner</t>
  </si>
  <si>
    <t>David Martinez</t>
  </si>
  <si>
    <t>Bryan Herrera</t>
  </si>
  <si>
    <t>Cathy Robinson</t>
  </si>
  <si>
    <t>Dr. William Warren</t>
  </si>
  <si>
    <t>Brian Lee</t>
  </si>
  <si>
    <t>Christopher Smith</t>
  </si>
  <si>
    <t>Denise Mccann</t>
  </si>
  <si>
    <t>Melissa Martinez</t>
  </si>
  <si>
    <t>Katherine Salas</t>
  </si>
  <si>
    <t>Julie Alexander</t>
  </si>
  <si>
    <t>Anthony Everett</t>
  </si>
  <si>
    <t>Rodney Morales</t>
  </si>
  <si>
    <t>Mark Brown</t>
  </si>
  <si>
    <t>Justin Torres</t>
  </si>
  <si>
    <t>Bailey Duran DDS</t>
  </si>
  <si>
    <t>Courtney Mills</t>
  </si>
  <si>
    <t>Jeremy Dalton</t>
  </si>
  <si>
    <t>Elizabeth Oliver DDS</t>
  </si>
  <si>
    <t>Theresa Clark</t>
  </si>
  <si>
    <t>Matthew Moore</t>
  </si>
  <si>
    <t>Benjamin Smith</t>
  </si>
  <si>
    <t>Kirk Carter</t>
  </si>
  <si>
    <t>Michael Warner</t>
  </si>
  <si>
    <t>Michael Bradshaw</t>
  </si>
  <si>
    <t>Lori Guerrero</t>
  </si>
  <si>
    <t>Jessica Stephens</t>
  </si>
  <si>
    <t>Susan Serrano</t>
  </si>
  <si>
    <t>Christopher Parker</t>
  </si>
  <si>
    <t>Laura Roberts</t>
  </si>
  <si>
    <t>Michael Lyons</t>
  </si>
  <si>
    <t>Kathryn Snyder</t>
  </si>
  <si>
    <t>Andrew Reynolds</t>
  </si>
  <si>
    <t>David Davis</t>
  </si>
  <si>
    <t>Sara Johnston</t>
  </si>
  <si>
    <t>Yvonne Chambers</t>
  </si>
  <si>
    <t>Andrew Avila</t>
  </si>
  <si>
    <t>Matthew Moon</t>
  </si>
  <si>
    <t>Kevin Walters</t>
  </si>
  <si>
    <t>Brandon Bailey MD</t>
  </si>
  <si>
    <t>Shannon Rivera</t>
  </si>
  <si>
    <t>Donna Landry</t>
  </si>
  <si>
    <t>Krista Gibson</t>
  </si>
  <si>
    <t>Frank Cordova</t>
  </si>
  <si>
    <t>Jose Travis</t>
  </si>
  <si>
    <t>Kimberly Gutierrez</t>
  </si>
  <si>
    <t>Isaiah Avila</t>
  </si>
  <si>
    <t>Olivia Harris</t>
  </si>
  <si>
    <t>Tanya Kim</t>
  </si>
  <si>
    <t>Barbara Dudley</t>
  </si>
  <si>
    <t>Cynthia Moore</t>
  </si>
  <si>
    <t>Kristen Davis</t>
  </si>
  <si>
    <t>Susan Murray MD</t>
  </si>
  <si>
    <t>Kathleen Moran</t>
  </si>
  <si>
    <t>Denise Davenport</t>
  </si>
  <si>
    <t>Mrs. Kristen Reyes</t>
  </si>
  <si>
    <t>Katie Suarez</t>
  </si>
  <si>
    <t>Desiree Tyler</t>
  </si>
  <si>
    <t>Timothy Romero</t>
  </si>
  <si>
    <t>Diane Evans</t>
  </si>
  <si>
    <t>Yvonne Burns</t>
  </si>
  <si>
    <t>Joshua Reed</t>
  </si>
  <si>
    <t>Kimberly Gibson</t>
  </si>
  <si>
    <t>Colin Terry</t>
  </si>
  <si>
    <t>Cynthia Rowe</t>
  </si>
  <si>
    <t>Patrick Thornton</t>
  </si>
  <si>
    <t>Jasmin Alvarado</t>
  </si>
  <si>
    <t>Veronica Simpson</t>
  </si>
  <si>
    <t>Jonathan Lawrence</t>
  </si>
  <si>
    <t>Shelly Alexander</t>
  </si>
  <si>
    <t>Joyce Bowen</t>
  </si>
  <si>
    <t>Wayne Morgan</t>
  </si>
  <si>
    <t>Marie Christian</t>
  </si>
  <si>
    <t>Shannon James</t>
  </si>
  <si>
    <t>Nathan Malone</t>
  </si>
  <si>
    <t>Amanda Jones</t>
  </si>
  <si>
    <t>Tammie Bright</t>
  </si>
  <si>
    <t>Jessica Garcia</t>
  </si>
  <si>
    <t>Shelia Wallace</t>
  </si>
  <si>
    <t>Stephanie Williams</t>
  </si>
  <si>
    <t>Elaine Brooks</t>
  </si>
  <si>
    <t>Joseph Knight</t>
  </si>
  <si>
    <t>Carolyn Miller</t>
  </si>
  <si>
    <t>Lisa Allen</t>
  </si>
  <si>
    <t>Briana Murray</t>
  </si>
  <si>
    <t>David Smith</t>
  </si>
  <si>
    <t>Stephanie Byrd</t>
  </si>
  <si>
    <t>Jeremy Reed</t>
  </si>
  <si>
    <t>Margaret Coleman</t>
  </si>
  <si>
    <t>Ryan Gonzalez</t>
  </si>
  <si>
    <t>John Young</t>
  </si>
  <si>
    <t>Laura Haney</t>
  </si>
  <si>
    <t>William Barrett</t>
  </si>
  <si>
    <t>Keith Jennings</t>
  </si>
  <si>
    <t>Amber Obrien</t>
  </si>
  <si>
    <t>Tanner Mitchell DDS</t>
  </si>
  <si>
    <t>Heather Fields</t>
  </si>
  <si>
    <t>Megan Le</t>
  </si>
  <si>
    <t>Sara Fuller</t>
  </si>
  <si>
    <t>Maria Parker</t>
  </si>
  <si>
    <t>Kevin Oconnor</t>
  </si>
  <si>
    <t>Edward Burgess</t>
  </si>
  <si>
    <t>Carlos Ryan</t>
  </si>
  <si>
    <t>Kiara Mcintyre</t>
  </si>
  <si>
    <t>Dawn Summers</t>
  </si>
  <si>
    <t>Dr. Paul Morgan</t>
  </si>
  <si>
    <t>Victor Taylor</t>
  </si>
  <si>
    <t>Shannon Ramsey</t>
  </si>
  <si>
    <t>Tracy Ballard</t>
  </si>
  <si>
    <t>Richard Smith</t>
  </si>
  <si>
    <t>Jordan Chambers</t>
  </si>
  <si>
    <t>Lauren Carson</t>
  </si>
  <si>
    <t>Ashley Hall</t>
  </si>
  <si>
    <t>Stephen Hoffman</t>
  </si>
  <si>
    <t>Connie Brown</t>
  </si>
  <si>
    <t>Susan Turner</t>
  </si>
  <si>
    <t>Charles Shah</t>
  </si>
  <si>
    <t>Johnathan Davis</t>
  </si>
  <si>
    <t>Brandy Chavez</t>
  </si>
  <si>
    <t>Natalie Bautista</t>
  </si>
  <si>
    <t>Patrick Moore</t>
  </si>
  <si>
    <t>Brett Burns</t>
  </si>
  <si>
    <t>Trevor Johnson</t>
  </si>
  <si>
    <t>Jeremy Sampson</t>
  </si>
  <si>
    <t>Ariana Jennings</t>
  </si>
  <si>
    <t>Vanessa Howard</t>
  </si>
  <si>
    <t>Colton Martinez</t>
  </si>
  <si>
    <t>Jordan Bates</t>
  </si>
  <si>
    <t>Linda Smith</t>
  </si>
  <si>
    <t>Dana Martinez</t>
  </si>
  <si>
    <t>Andrea Hubbard</t>
  </si>
  <si>
    <t>Daniel Kane</t>
  </si>
  <si>
    <t>Charles Lester</t>
  </si>
  <si>
    <t>Scott Thomas</t>
  </si>
  <si>
    <t>David Thompson</t>
  </si>
  <si>
    <t>Allison Smith</t>
  </si>
  <si>
    <t>Cynthia Morris</t>
  </si>
  <si>
    <t>Anthony Harmon</t>
  </si>
  <si>
    <t>Nichole Alvarez</t>
  </si>
  <si>
    <t>Kayla Rodriguez</t>
  </si>
  <si>
    <t>Theresa Williams</t>
  </si>
  <si>
    <t>Sharon Boyd</t>
  </si>
  <si>
    <t>Victor Brown</t>
  </si>
  <si>
    <t>James Parks</t>
  </si>
  <si>
    <t>Theodore Jones Jr.</t>
  </si>
  <si>
    <t>Ana Hill</t>
  </si>
  <si>
    <t>Kimberly Nguyen</t>
  </si>
  <si>
    <t>Kerry Chavez DDS</t>
  </si>
  <si>
    <t>Michael Farrell</t>
  </si>
  <si>
    <t>Patricia Le</t>
  </si>
  <si>
    <t>Jesse Perez</t>
  </si>
  <si>
    <t>Jesse Perry</t>
  </si>
  <si>
    <t>Jeffery Ortega</t>
  </si>
  <si>
    <t>Christian Leblanc</t>
  </si>
  <si>
    <t>Ronald Davis</t>
  </si>
  <si>
    <t>Parker Cain</t>
  </si>
  <si>
    <t>Laurie Hoffman</t>
  </si>
  <si>
    <t>Bryan Gomez</t>
  </si>
  <si>
    <t>Nicole Parrish</t>
  </si>
  <si>
    <t>Tracy Burke</t>
  </si>
  <si>
    <t>Kenneth Lewis</t>
  </si>
  <si>
    <t>Courtney Rodriguez</t>
  </si>
  <si>
    <t>Holly Farmer</t>
  </si>
  <si>
    <t>Renee Bruce</t>
  </si>
  <si>
    <t>Sabrina Austin</t>
  </si>
  <si>
    <t>Allison Hickman</t>
  </si>
  <si>
    <t>Debra White</t>
  </si>
  <si>
    <t>Ellen Morgan</t>
  </si>
  <si>
    <t>Sergio Knight</t>
  </si>
  <si>
    <t>Charles Schultz</t>
  </si>
  <si>
    <t>Paul Lewis</t>
  </si>
  <si>
    <t>Glen Wood</t>
  </si>
  <si>
    <t>Paula Bradley</t>
  </si>
  <si>
    <t>Anthony Moore</t>
  </si>
  <si>
    <t>Megan Nelson</t>
  </si>
  <si>
    <t>Karla Ramos</t>
  </si>
  <si>
    <t>Paul Wilson</t>
  </si>
  <si>
    <t>Douglas Gregory</t>
  </si>
  <si>
    <t>Mr. Andrew Foster</t>
  </si>
  <si>
    <t>Aimee Turner</t>
  </si>
  <si>
    <t>Chad Scott</t>
  </si>
  <si>
    <t>Adam Burgess</t>
  </si>
  <si>
    <t>James Padilla</t>
  </si>
  <si>
    <t>Sandra Drake</t>
  </si>
  <si>
    <t>Scott Williams</t>
  </si>
  <si>
    <t>Thomas Atkins</t>
  </si>
  <si>
    <t>Laura Mckinney</t>
  </si>
  <si>
    <t>Brian Smith</t>
  </si>
  <si>
    <t>Robert Montgomery</t>
  </si>
  <si>
    <t>Tamara Davis</t>
  </si>
  <si>
    <t>Dana Chapman</t>
  </si>
  <si>
    <t>Jennifer Collins</t>
  </si>
  <si>
    <t>Gary Jackson</t>
  </si>
  <si>
    <t>Ashley Hicks</t>
  </si>
  <si>
    <t>Hannah Luna</t>
  </si>
  <si>
    <t>Robin Young</t>
  </si>
  <si>
    <t>Craig Morrison</t>
  </si>
  <si>
    <t>Mary Thompson</t>
  </si>
  <si>
    <t>Kathleen Webster</t>
  </si>
  <si>
    <t>Joann Glass</t>
  </si>
  <si>
    <t>Madison Weber</t>
  </si>
  <si>
    <t>Lori Hernandez</t>
  </si>
  <si>
    <t>Jeremy Turner</t>
  </si>
  <si>
    <t>Anthony Romero</t>
  </si>
  <si>
    <t>Jesse Brown</t>
  </si>
  <si>
    <t>Angela Lin</t>
  </si>
  <si>
    <t>Lisa Hunter</t>
  </si>
  <si>
    <t>Julian Conner</t>
  </si>
  <si>
    <t>Joanna Pacheco</t>
  </si>
  <si>
    <t>Erica Alvarez</t>
  </si>
  <si>
    <t>Antonio Garcia</t>
  </si>
  <si>
    <t>Gwendolyn Klein</t>
  </si>
  <si>
    <t>Carrie Wright</t>
  </si>
  <si>
    <t>Jeffrey Mills</t>
  </si>
  <si>
    <t>Jake Campbell</t>
  </si>
  <si>
    <t>George Harper</t>
  </si>
  <si>
    <t>Maria Jones</t>
  </si>
  <si>
    <t>Michael Mitchell</t>
  </si>
  <si>
    <t>Mary Escobar</t>
  </si>
  <si>
    <t>Felicia Aguilar</t>
  </si>
  <si>
    <t>Gregory Ponce</t>
  </si>
  <si>
    <t>Jenna Larson</t>
  </si>
  <si>
    <t>Emily Bennett</t>
  </si>
  <si>
    <t>Robin Santiago</t>
  </si>
  <si>
    <t>Nancy Jennings</t>
  </si>
  <si>
    <t>Maria Henderson</t>
  </si>
  <si>
    <t>Jack White</t>
  </si>
  <si>
    <t>Travis Tucker</t>
  </si>
  <si>
    <t>Chad Jones</t>
  </si>
  <si>
    <t>Ashley Wise</t>
  </si>
  <si>
    <t>Sophia Johnson</t>
  </si>
  <si>
    <t>Ralph Anderson</t>
  </si>
  <si>
    <t>Christopher Guerra</t>
  </si>
  <si>
    <t>Rhonda Martin</t>
  </si>
  <si>
    <t>Jason Rhodes</t>
  </si>
  <si>
    <t>Jeremy Mitchell</t>
  </si>
  <si>
    <t>Joann Ferguson</t>
  </si>
  <si>
    <t>Robert Harrison</t>
  </si>
  <si>
    <t>Holly Valentine</t>
  </si>
  <si>
    <t>Mrs. Diane Reyes</t>
  </si>
  <si>
    <t>Tracy Montoya</t>
  </si>
  <si>
    <t>Brenda Wright</t>
  </si>
  <si>
    <t>Shelly Spencer</t>
  </si>
  <si>
    <t>Ryan Rosales</t>
  </si>
  <si>
    <t>Phillip Nelson</t>
  </si>
  <si>
    <t>Brittany Kim</t>
  </si>
  <si>
    <t>Courtney Hayes</t>
  </si>
  <si>
    <t>Alexander Brown</t>
  </si>
  <si>
    <t>Cynthia Vang</t>
  </si>
  <si>
    <t>Alfred Galvan</t>
  </si>
  <si>
    <t>Marie Moody</t>
  </si>
  <si>
    <t>Dustin Gallegos</t>
  </si>
  <si>
    <t>Brenda Thornton</t>
  </si>
  <si>
    <t>Aaron Miller</t>
  </si>
  <si>
    <t>Ruben Dunn</t>
  </si>
  <si>
    <t>Kelsey Rodriguez</t>
  </si>
  <si>
    <t>Eric Williams</t>
  </si>
  <si>
    <t>Riley Bryant</t>
  </si>
  <si>
    <t>Taylor Carlson</t>
  </si>
  <si>
    <t>Jose Allen</t>
  </si>
  <si>
    <t>Jeffrey Mendez</t>
  </si>
  <si>
    <t>Jason Beck</t>
  </si>
  <si>
    <t>William Jones</t>
  </si>
  <si>
    <t>Katie Mcneil</t>
  </si>
  <si>
    <t>Jeanette Harrison</t>
  </si>
  <si>
    <t>Veronica King</t>
  </si>
  <si>
    <t>Richard Cooper</t>
  </si>
  <si>
    <t>Lori Ingram</t>
  </si>
  <si>
    <t>Evelyn Williams</t>
  </si>
  <si>
    <t>Robin Thompson</t>
  </si>
  <si>
    <t>Julie Dominguez</t>
  </si>
  <si>
    <t>Robin Brown</t>
  </si>
  <si>
    <t>Judith Carter</t>
  </si>
  <si>
    <t>Curtis Williams</t>
  </si>
  <si>
    <t>Kaylee Hays</t>
  </si>
  <si>
    <t>Dawn Mullins</t>
  </si>
  <si>
    <t>Howard Norman</t>
  </si>
  <si>
    <t>Evelyn Martinez</t>
  </si>
  <si>
    <t>Steve Paul</t>
  </si>
  <si>
    <t>Jasmine Beltran</t>
  </si>
  <si>
    <t>Jonathan Glass MD</t>
  </si>
  <si>
    <t>Monica Miller</t>
  </si>
  <si>
    <t>Samantha Gardner</t>
  </si>
  <si>
    <t>Bobby Guerrero</t>
  </si>
  <si>
    <t>Lance Simmons</t>
  </si>
  <si>
    <t>Heather Williams</t>
  </si>
  <si>
    <t>Heather Bolton</t>
  </si>
  <si>
    <t>William Gould</t>
  </si>
  <si>
    <t>Mark Cox</t>
  </si>
  <si>
    <t>Meghan Cisneros</t>
  </si>
  <si>
    <t>Lawrence Harrington</t>
  </si>
  <si>
    <t>Austin Osborne</t>
  </si>
  <si>
    <t>James Bradley</t>
  </si>
  <si>
    <t>Meghan Rush</t>
  </si>
  <si>
    <t>Phillip Berry</t>
  </si>
  <si>
    <t>Jennifer Banks</t>
  </si>
  <si>
    <t>Brian Fitzgerald</t>
  </si>
  <si>
    <t>Mr. Justin Green III</t>
  </si>
  <si>
    <t>Zachary Mitchell</t>
  </si>
  <si>
    <t>Katherine Martinez</t>
  </si>
  <si>
    <t>Jodi Roach</t>
  </si>
  <si>
    <t>Brandon Fleming</t>
  </si>
  <si>
    <t>All States</t>
  </si>
  <si>
    <t>All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</si>
</sst>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49" fontId="1" fillId="0" borderId="0" xfId="0" applyNumberFormat="1" applyFont="1"/>
    <xf numFmtId="0" fontId="1" fillId="0" borderId="0" xfId="0" applyFont="1"/>
    <xf numFmtId="3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51"/>
  <sheetViews>
    <sheetView tabSelected="1" workbookViewId="0"/>
  </sheetViews>
  <sheetFormatPr defaultColWidth="12.6640625" defaultRowHeight="15.75" customHeight="1" x14ac:dyDescent="0.25"/>
  <cols>
    <col min="1" max="3" width="14.88671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1" t="s">
        <v>9</v>
      </c>
    </row>
    <row r="2" spans="1:10" x14ac:dyDescent="0.25">
      <c r="A2" s="5" t="s">
        <v>10</v>
      </c>
      <c r="B2" s="6" t="s">
        <v>11</v>
      </c>
      <c r="C2" s="6" t="s">
        <v>12</v>
      </c>
      <c r="D2" s="5">
        <v>47</v>
      </c>
      <c r="E2" s="7">
        <f t="shared" ref="E2:E551" si="0">F2 * 0.75</f>
        <v>118416.93</v>
      </c>
      <c r="F2" s="7">
        <v>157889.24</v>
      </c>
      <c r="G2" s="7">
        <v>7420794.2799999993</v>
      </c>
      <c r="H2" s="7">
        <f t="shared" ref="H2:H551" si="1">(F2 - E2) * D2</f>
        <v>1855198.5699999998</v>
      </c>
      <c r="I2" s="8">
        <v>45774</v>
      </c>
      <c r="J2" s="6" t="s">
        <v>13</v>
      </c>
    </row>
    <row r="3" spans="1:10" x14ac:dyDescent="0.25">
      <c r="A3" s="6" t="s">
        <v>14</v>
      </c>
      <c r="B3" s="6" t="s">
        <v>15</v>
      </c>
      <c r="C3" s="6" t="s">
        <v>16</v>
      </c>
      <c r="D3" s="5">
        <v>47</v>
      </c>
      <c r="E3" s="7">
        <f t="shared" si="0"/>
        <v>200994.70500000002</v>
      </c>
      <c r="F3" s="7">
        <v>267992.94</v>
      </c>
      <c r="G3" s="7">
        <v>12595668.18</v>
      </c>
      <c r="H3" s="7">
        <f t="shared" si="1"/>
        <v>3148917.0449999995</v>
      </c>
      <c r="I3" s="8">
        <v>45366</v>
      </c>
      <c r="J3" s="6" t="s">
        <v>17</v>
      </c>
    </row>
    <row r="4" spans="1:10" x14ac:dyDescent="0.25">
      <c r="A4" s="6" t="s">
        <v>18</v>
      </c>
      <c r="B4" s="6" t="s">
        <v>19</v>
      </c>
      <c r="C4" s="6" t="s">
        <v>12</v>
      </c>
      <c r="D4" s="5">
        <v>47</v>
      </c>
      <c r="E4" s="7">
        <f t="shared" si="0"/>
        <v>31773.307500000003</v>
      </c>
      <c r="F4" s="7">
        <v>42364.41</v>
      </c>
      <c r="G4" s="7">
        <v>1991127.2700000003</v>
      </c>
      <c r="H4" s="7">
        <f t="shared" si="1"/>
        <v>497781.81750000006</v>
      </c>
      <c r="I4" s="8">
        <v>45636</v>
      </c>
      <c r="J4" s="5" t="s">
        <v>10</v>
      </c>
    </row>
    <row r="5" spans="1:10" x14ac:dyDescent="0.25">
      <c r="A5" s="6" t="s">
        <v>20</v>
      </c>
      <c r="B5" s="6" t="s">
        <v>21</v>
      </c>
      <c r="C5" s="6" t="s">
        <v>12</v>
      </c>
      <c r="D5" s="5">
        <v>47</v>
      </c>
      <c r="E5" s="7">
        <f t="shared" si="0"/>
        <v>209583.70500000002</v>
      </c>
      <c r="F5" s="7">
        <v>279444.94</v>
      </c>
      <c r="G5" s="7">
        <v>13133912.18</v>
      </c>
      <c r="H5" s="7">
        <f t="shared" si="1"/>
        <v>3283478.0449999995</v>
      </c>
      <c r="I5" s="8">
        <v>45387</v>
      </c>
      <c r="J5" s="5" t="s">
        <v>10</v>
      </c>
    </row>
    <row r="6" spans="1:10" x14ac:dyDescent="0.25">
      <c r="A6" s="6" t="s">
        <v>22</v>
      </c>
      <c r="B6" s="6" t="s">
        <v>21</v>
      </c>
      <c r="C6" s="6" t="s">
        <v>23</v>
      </c>
      <c r="D6" s="5">
        <v>47</v>
      </c>
      <c r="E6" s="7">
        <f t="shared" si="0"/>
        <v>71924.805000000008</v>
      </c>
      <c r="F6" s="7">
        <v>95899.74</v>
      </c>
      <c r="G6" s="7">
        <v>4507287.78</v>
      </c>
      <c r="H6" s="7">
        <f t="shared" si="1"/>
        <v>1126821.9449999998</v>
      </c>
      <c r="I6" s="8">
        <v>45669</v>
      </c>
      <c r="J6" s="5" t="s">
        <v>10</v>
      </c>
    </row>
    <row r="7" spans="1:10" x14ac:dyDescent="0.25">
      <c r="A7" s="6" t="s">
        <v>24</v>
      </c>
      <c r="B7" s="6" t="s">
        <v>25</v>
      </c>
      <c r="C7" s="6" t="s">
        <v>26</v>
      </c>
      <c r="D7" s="5">
        <v>47</v>
      </c>
      <c r="E7" s="7">
        <f t="shared" si="0"/>
        <v>88642.424999999988</v>
      </c>
      <c r="F7" s="7">
        <v>118189.9</v>
      </c>
      <c r="G7" s="7">
        <v>5554925.2999999998</v>
      </c>
      <c r="H7" s="7">
        <f t="shared" si="1"/>
        <v>1388731.3250000002</v>
      </c>
      <c r="I7" s="8">
        <v>45168</v>
      </c>
      <c r="J7" s="6" t="s">
        <v>27</v>
      </c>
    </row>
    <row r="8" spans="1:10" x14ac:dyDescent="0.25">
      <c r="A8" s="6" t="s">
        <v>28</v>
      </c>
      <c r="B8" s="6" t="s">
        <v>11</v>
      </c>
      <c r="C8" s="6" t="s">
        <v>23</v>
      </c>
      <c r="D8" s="5">
        <v>36</v>
      </c>
      <c r="E8" s="7">
        <f t="shared" si="0"/>
        <v>138856.42499999999</v>
      </c>
      <c r="F8" s="7">
        <v>185141.9</v>
      </c>
      <c r="G8" s="7">
        <v>6665108.4000000004</v>
      </c>
      <c r="H8" s="7">
        <f t="shared" si="1"/>
        <v>1666277.1</v>
      </c>
      <c r="I8" s="8">
        <v>45545</v>
      </c>
      <c r="J8" s="6" t="s">
        <v>17</v>
      </c>
    </row>
    <row r="9" spans="1:10" x14ac:dyDescent="0.25">
      <c r="A9" s="6" t="s">
        <v>29</v>
      </c>
      <c r="B9" s="6" t="s">
        <v>30</v>
      </c>
      <c r="C9" s="6" t="s">
        <v>12</v>
      </c>
      <c r="D9" s="5">
        <v>47</v>
      </c>
      <c r="E9" s="7">
        <f t="shared" si="0"/>
        <v>189644.46</v>
      </c>
      <c r="F9" s="7">
        <v>252859.28</v>
      </c>
      <c r="G9" s="7">
        <v>11884386.16</v>
      </c>
      <c r="H9" s="7">
        <f t="shared" si="1"/>
        <v>2971096.5400000005</v>
      </c>
      <c r="I9" s="8">
        <v>45539</v>
      </c>
      <c r="J9" s="6" t="s">
        <v>13</v>
      </c>
    </row>
    <row r="10" spans="1:10" x14ac:dyDescent="0.25">
      <c r="A10" s="6" t="s">
        <v>31</v>
      </c>
      <c r="B10" s="6" t="s">
        <v>32</v>
      </c>
      <c r="C10" s="6" t="s">
        <v>26</v>
      </c>
      <c r="D10" s="5">
        <v>47</v>
      </c>
      <c r="E10" s="7">
        <f t="shared" si="0"/>
        <v>133740.39749999999</v>
      </c>
      <c r="F10" s="7">
        <v>178320.53</v>
      </c>
      <c r="G10" s="7">
        <v>8381064.9100000001</v>
      </c>
      <c r="H10" s="7">
        <f t="shared" si="1"/>
        <v>2095266.2275000003</v>
      </c>
      <c r="I10" s="8">
        <v>45343</v>
      </c>
      <c r="J10" s="6" t="s">
        <v>17</v>
      </c>
    </row>
    <row r="11" spans="1:10" x14ac:dyDescent="0.25">
      <c r="A11" s="6" t="s">
        <v>33</v>
      </c>
      <c r="B11" s="6" t="s">
        <v>34</v>
      </c>
      <c r="C11" s="6" t="s">
        <v>23</v>
      </c>
      <c r="D11" s="5">
        <v>47</v>
      </c>
      <c r="E11" s="7">
        <f t="shared" si="0"/>
        <v>114330.63</v>
      </c>
      <c r="F11" s="7">
        <v>152440.84</v>
      </c>
      <c r="G11" s="7">
        <v>7164719.4799999995</v>
      </c>
      <c r="H11" s="7">
        <f t="shared" si="1"/>
        <v>1791179.8699999996</v>
      </c>
      <c r="I11" s="8">
        <v>45810</v>
      </c>
      <c r="J11" s="6" t="s">
        <v>27</v>
      </c>
    </row>
    <row r="12" spans="1:10" x14ac:dyDescent="0.25">
      <c r="A12" s="6" t="s">
        <v>35</v>
      </c>
      <c r="B12" s="6" t="s">
        <v>36</v>
      </c>
      <c r="C12" s="6" t="s">
        <v>12</v>
      </c>
      <c r="D12" s="5">
        <v>47</v>
      </c>
      <c r="E12" s="7">
        <f t="shared" si="0"/>
        <v>118416.93</v>
      </c>
      <c r="F12" s="7">
        <v>157889.24</v>
      </c>
      <c r="G12" s="7">
        <v>7420794.2799999993</v>
      </c>
      <c r="H12" s="7">
        <f t="shared" si="1"/>
        <v>1855198.5699999998</v>
      </c>
      <c r="I12" s="8">
        <v>45350</v>
      </c>
      <c r="J12" s="6" t="s">
        <v>27</v>
      </c>
    </row>
    <row r="13" spans="1:10" x14ac:dyDescent="0.25">
      <c r="A13" s="6" t="s">
        <v>37</v>
      </c>
      <c r="B13" s="6" t="s">
        <v>38</v>
      </c>
      <c r="C13" s="6" t="s">
        <v>39</v>
      </c>
      <c r="D13" s="5">
        <v>3</v>
      </c>
      <c r="E13" s="7">
        <f t="shared" si="0"/>
        <v>114869.5275</v>
      </c>
      <c r="F13" s="7">
        <v>153159.37</v>
      </c>
      <c r="G13" s="7">
        <v>459478.11</v>
      </c>
      <c r="H13" s="7">
        <f t="shared" si="1"/>
        <v>114869.5275</v>
      </c>
      <c r="I13" s="8">
        <v>45779</v>
      </c>
      <c r="J13" s="6" t="s">
        <v>40</v>
      </c>
    </row>
    <row r="14" spans="1:10" x14ac:dyDescent="0.25">
      <c r="A14" s="6" t="s">
        <v>41</v>
      </c>
      <c r="B14" s="6" t="s">
        <v>15</v>
      </c>
      <c r="C14" s="6" t="s">
        <v>23</v>
      </c>
      <c r="D14" s="5">
        <v>43</v>
      </c>
      <c r="E14" s="7">
        <f t="shared" si="0"/>
        <v>110406.80250000001</v>
      </c>
      <c r="F14" s="7">
        <v>147209.07</v>
      </c>
      <c r="G14" s="7">
        <v>6329990.0099999998</v>
      </c>
      <c r="H14" s="7">
        <f t="shared" si="1"/>
        <v>1582497.5025000002</v>
      </c>
      <c r="I14" s="8">
        <v>45240</v>
      </c>
      <c r="J14" s="6" t="s">
        <v>17</v>
      </c>
    </row>
    <row r="15" spans="1:10" x14ac:dyDescent="0.25">
      <c r="A15" s="5" t="s">
        <v>10</v>
      </c>
      <c r="B15" s="6" t="s">
        <v>32</v>
      </c>
      <c r="C15" s="6" t="s">
        <v>26</v>
      </c>
      <c r="D15" s="5">
        <v>47</v>
      </c>
      <c r="E15" s="7">
        <f t="shared" si="0"/>
        <v>126821.86500000001</v>
      </c>
      <c r="F15" s="7">
        <v>169095.82</v>
      </c>
      <c r="G15" s="7">
        <v>7947503.54</v>
      </c>
      <c r="H15" s="7">
        <f t="shared" si="1"/>
        <v>1986875.885</v>
      </c>
      <c r="I15" s="8">
        <v>45670</v>
      </c>
      <c r="J15" s="5" t="s">
        <v>10</v>
      </c>
    </row>
    <row r="16" spans="1:10" x14ac:dyDescent="0.25">
      <c r="A16" s="6" t="s">
        <v>42</v>
      </c>
      <c r="B16" s="6" t="s">
        <v>43</v>
      </c>
      <c r="C16" s="6" t="s">
        <v>23</v>
      </c>
      <c r="D16" s="5">
        <v>27</v>
      </c>
      <c r="E16" s="7">
        <f t="shared" si="0"/>
        <v>107047.7475</v>
      </c>
      <c r="F16" s="7">
        <v>142730.32999999999</v>
      </c>
      <c r="G16" s="7">
        <v>3853718.91</v>
      </c>
      <c r="H16" s="7">
        <f t="shared" si="1"/>
        <v>963429.72749999969</v>
      </c>
      <c r="I16" s="8">
        <v>45669</v>
      </c>
      <c r="J16" s="6" t="s">
        <v>27</v>
      </c>
    </row>
    <row r="17" spans="1:10" x14ac:dyDescent="0.25">
      <c r="A17" s="6" t="s">
        <v>44</v>
      </c>
      <c r="B17" s="6" t="s">
        <v>21</v>
      </c>
      <c r="C17" s="6" t="s">
        <v>45</v>
      </c>
      <c r="D17" s="5">
        <v>47</v>
      </c>
      <c r="E17" s="7">
        <f t="shared" si="0"/>
        <v>4112.0775000000003</v>
      </c>
      <c r="F17" s="7">
        <v>5482.77</v>
      </c>
      <c r="G17" s="7">
        <v>257690.19000000003</v>
      </c>
      <c r="H17" s="7">
        <f t="shared" si="1"/>
        <v>64422.547500000008</v>
      </c>
      <c r="I17" s="8">
        <v>45838</v>
      </c>
      <c r="J17" s="6" t="s">
        <v>27</v>
      </c>
    </row>
    <row r="18" spans="1:10" x14ac:dyDescent="0.25">
      <c r="A18" s="6" t="s">
        <v>46</v>
      </c>
      <c r="B18" s="6" t="s">
        <v>47</v>
      </c>
      <c r="C18" s="6" t="s">
        <v>45</v>
      </c>
      <c r="D18" s="5">
        <v>47</v>
      </c>
      <c r="E18" s="7">
        <f t="shared" si="0"/>
        <v>74779.694999999992</v>
      </c>
      <c r="F18" s="7">
        <v>99706.26</v>
      </c>
      <c r="G18" s="7">
        <v>4686194.22</v>
      </c>
      <c r="H18" s="7">
        <f t="shared" si="1"/>
        <v>1171548.5550000002</v>
      </c>
      <c r="I18" s="8">
        <v>45661</v>
      </c>
      <c r="J18" s="6" t="s">
        <v>40</v>
      </c>
    </row>
    <row r="19" spans="1:10" x14ac:dyDescent="0.25">
      <c r="A19" s="6" t="s">
        <v>48</v>
      </c>
      <c r="B19" s="6" t="s">
        <v>49</v>
      </c>
      <c r="C19" s="6" t="s">
        <v>39</v>
      </c>
      <c r="D19" s="5">
        <v>28</v>
      </c>
      <c r="E19" s="7">
        <f t="shared" si="0"/>
        <v>24994.927499999998</v>
      </c>
      <c r="F19" s="7">
        <v>33326.57</v>
      </c>
      <c r="G19" s="7">
        <v>933143.96</v>
      </c>
      <c r="H19" s="7">
        <f t="shared" si="1"/>
        <v>233285.99000000005</v>
      </c>
      <c r="I19" s="8">
        <v>45613</v>
      </c>
      <c r="J19" s="5" t="s">
        <v>10</v>
      </c>
    </row>
    <row r="20" spans="1:10" x14ac:dyDescent="0.25">
      <c r="A20" s="6" t="s">
        <v>50</v>
      </c>
      <c r="B20" s="6" t="s">
        <v>15</v>
      </c>
      <c r="C20" s="6" t="s">
        <v>16</v>
      </c>
      <c r="D20" s="5">
        <v>43</v>
      </c>
      <c r="E20" s="7">
        <f t="shared" si="0"/>
        <v>93940.357499999998</v>
      </c>
      <c r="F20" s="7">
        <v>125253.81</v>
      </c>
      <c r="G20" s="7">
        <v>5385913.8300000001</v>
      </c>
      <c r="H20" s="7">
        <f t="shared" si="1"/>
        <v>1346478.4575</v>
      </c>
      <c r="I20" s="8">
        <v>45253</v>
      </c>
      <c r="J20" s="6" t="s">
        <v>27</v>
      </c>
    </row>
    <row r="21" spans="1:10" x14ac:dyDescent="0.25">
      <c r="A21" s="6" t="s">
        <v>51</v>
      </c>
      <c r="B21" s="6" t="s">
        <v>30</v>
      </c>
      <c r="C21" s="6" t="s">
        <v>16</v>
      </c>
      <c r="D21" s="5">
        <v>77</v>
      </c>
      <c r="E21" s="7">
        <f t="shared" si="0"/>
        <v>69487.132499999992</v>
      </c>
      <c r="F21" s="7">
        <v>92649.51</v>
      </c>
      <c r="G21" s="7">
        <v>7134012.2699999996</v>
      </c>
      <c r="H21" s="7">
        <f t="shared" si="1"/>
        <v>1783503.0675000001</v>
      </c>
      <c r="I21" s="8">
        <v>45734</v>
      </c>
      <c r="J21" s="6" t="s">
        <v>13</v>
      </c>
    </row>
    <row r="22" spans="1:10" x14ac:dyDescent="0.25">
      <c r="A22" s="6" t="s">
        <v>52</v>
      </c>
      <c r="B22" s="6" t="s">
        <v>43</v>
      </c>
      <c r="C22" s="6" t="s">
        <v>26</v>
      </c>
      <c r="D22" s="5">
        <v>36</v>
      </c>
      <c r="E22" s="7">
        <f t="shared" si="0"/>
        <v>118416.93</v>
      </c>
      <c r="F22" s="7">
        <v>157889.24</v>
      </c>
      <c r="G22" s="7">
        <v>5684012.6399999997</v>
      </c>
      <c r="H22" s="7">
        <f t="shared" si="1"/>
        <v>1421003.16</v>
      </c>
      <c r="I22" s="8">
        <v>45398</v>
      </c>
      <c r="J22" s="5" t="s">
        <v>10</v>
      </c>
    </row>
    <row r="23" spans="1:10" x14ac:dyDescent="0.25">
      <c r="A23" s="6" t="s">
        <v>53</v>
      </c>
      <c r="B23" s="6" t="s">
        <v>30</v>
      </c>
      <c r="C23" s="6" t="s">
        <v>54</v>
      </c>
      <c r="D23" s="5">
        <v>47</v>
      </c>
      <c r="E23" s="7">
        <f t="shared" si="0"/>
        <v>202260.5625</v>
      </c>
      <c r="F23" s="7">
        <v>269680.75</v>
      </c>
      <c r="G23" s="7">
        <v>12674995.25</v>
      </c>
      <c r="H23" s="7">
        <f t="shared" si="1"/>
        <v>3168748.8125</v>
      </c>
      <c r="I23" s="8">
        <v>45513</v>
      </c>
      <c r="J23" s="6" t="s">
        <v>17</v>
      </c>
    </row>
    <row r="24" spans="1:10" x14ac:dyDescent="0.25">
      <c r="A24" s="6" t="s">
        <v>55</v>
      </c>
      <c r="B24" s="6" t="s">
        <v>36</v>
      </c>
      <c r="C24" s="6" t="s">
        <v>16</v>
      </c>
      <c r="D24" s="5">
        <v>33</v>
      </c>
      <c r="E24" s="7">
        <f t="shared" si="0"/>
        <v>196270.26</v>
      </c>
      <c r="F24" s="7">
        <v>261693.68</v>
      </c>
      <c r="G24" s="7">
        <v>8635891.4399999995</v>
      </c>
      <c r="H24" s="7">
        <f t="shared" si="1"/>
        <v>2158972.8599999994</v>
      </c>
      <c r="I24" s="8">
        <v>45292</v>
      </c>
      <c r="J24" s="6" t="s">
        <v>40</v>
      </c>
    </row>
    <row r="25" spans="1:10" x14ac:dyDescent="0.25">
      <c r="A25" s="6" t="s">
        <v>56</v>
      </c>
      <c r="B25" s="6" t="s">
        <v>21</v>
      </c>
      <c r="C25" s="6" t="s">
        <v>26</v>
      </c>
      <c r="D25" s="5">
        <v>47</v>
      </c>
      <c r="E25" s="7">
        <f t="shared" si="0"/>
        <v>141722.63250000001</v>
      </c>
      <c r="F25" s="7">
        <v>188963.51</v>
      </c>
      <c r="G25" s="7">
        <v>8881284.9700000007</v>
      </c>
      <c r="H25" s="7">
        <f t="shared" si="1"/>
        <v>2220321.2425000002</v>
      </c>
      <c r="I25" s="8">
        <v>45212</v>
      </c>
      <c r="J25" s="6" t="s">
        <v>13</v>
      </c>
    </row>
    <row r="26" spans="1:10" x14ac:dyDescent="0.25">
      <c r="A26" s="6" t="s">
        <v>57</v>
      </c>
      <c r="B26" s="6" t="s">
        <v>58</v>
      </c>
      <c r="C26" s="6" t="s">
        <v>39</v>
      </c>
      <c r="D26" s="5">
        <v>4</v>
      </c>
      <c r="E26" s="7">
        <f t="shared" si="0"/>
        <v>134455.82250000001</v>
      </c>
      <c r="F26" s="7">
        <v>179274.43</v>
      </c>
      <c r="G26" s="7">
        <v>717097.72</v>
      </c>
      <c r="H26" s="7">
        <f t="shared" si="1"/>
        <v>179274.42999999993</v>
      </c>
      <c r="I26" s="8">
        <v>45274</v>
      </c>
      <c r="J26" s="6" t="s">
        <v>13</v>
      </c>
    </row>
    <row r="27" spans="1:10" x14ac:dyDescent="0.25">
      <c r="A27" s="6" t="s">
        <v>59</v>
      </c>
      <c r="B27" s="6" t="s">
        <v>34</v>
      </c>
      <c r="C27" s="6" t="s">
        <v>54</v>
      </c>
      <c r="D27" s="5">
        <v>47</v>
      </c>
      <c r="E27" s="7">
        <f t="shared" si="0"/>
        <v>60019.777499999997</v>
      </c>
      <c r="F27" s="7">
        <v>80026.37</v>
      </c>
      <c r="G27" s="7">
        <v>3761239.3899999997</v>
      </c>
      <c r="H27" s="7">
        <f t="shared" si="1"/>
        <v>940309.84749999992</v>
      </c>
      <c r="I27" s="8">
        <v>45733</v>
      </c>
      <c r="J27" s="6" t="s">
        <v>17</v>
      </c>
    </row>
    <row r="28" spans="1:10" x14ac:dyDescent="0.25">
      <c r="A28" s="5" t="s">
        <v>10</v>
      </c>
      <c r="B28" s="6" t="s">
        <v>19</v>
      </c>
      <c r="C28" s="6" t="s">
        <v>54</v>
      </c>
      <c r="D28" s="5">
        <v>47</v>
      </c>
      <c r="E28" s="7">
        <f t="shared" si="0"/>
        <v>147637.125</v>
      </c>
      <c r="F28" s="7">
        <v>196849.5</v>
      </c>
      <c r="G28" s="7">
        <v>9251926.5</v>
      </c>
      <c r="H28" s="7">
        <f t="shared" si="1"/>
        <v>2312981.625</v>
      </c>
      <c r="I28" s="8">
        <v>45225</v>
      </c>
      <c r="J28" s="6" t="s">
        <v>40</v>
      </c>
    </row>
    <row r="29" spans="1:10" x14ac:dyDescent="0.25">
      <c r="A29" s="6" t="s">
        <v>60</v>
      </c>
      <c r="B29" s="6" t="s">
        <v>15</v>
      </c>
      <c r="C29" s="6" t="s">
        <v>45</v>
      </c>
      <c r="D29" s="5">
        <v>42</v>
      </c>
      <c r="E29" s="7">
        <f t="shared" si="0"/>
        <v>218723.27250000002</v>
      </c>
      <c r="F29" s="7">
        <v>291631.03000000003</v>
      </c>
      <c r="G29" s="7">
        <v>12248503.26</v>
      </c>
      <c r="H29" s="7">
        <f t="shared" si="1"/>
        <v>3062125.8150000004</v>
      </c>
      <c r="I29" s="8">
        <v>45301</v>
      </c>
      <c r="J29" s="6" t="s">
        <v>27</v>
      </c>
    </row>
    <row r="30" spans="1:10" x14ac:dyDescent="0.25">
      <c r="A30" s="6" t="s">
        <v>61</v>
      </c>
      <c r="B30" s="6" t="s">
        <v>62</v>
      </c>
      <c r="C30" s="6" t="s">
        <v>12</v>
      </c>
      <c r="D30" s="5">
        <v>47</v>
      </c>
      <c r="E30" s="7">
        <f t="shared" si="0"/>
        <v>130314.795</v>
      </c>
      <c r="F30" s="7">
        <v>173753.06</v>
      </c>
      <c r="G30" s="7">
        <v>8166393.8200000003</v>
      </c>
      <c r="H30" s="7">
        <f t="shared" si="1"/>
        <v>2041598.4550000001</v>
      </c>
      <c r="I30" s="8">
        <v>45731</v>
      </c>
      <c r="J30" s="6" t="s">
        <v>40</v>
      </c>
    </row>
    <row r="31" spans="1:10" x14ac:dyDescent="0.25">
      <c r="A31" s="6" t="s">
        <v>63</v>
      </c>
      <c r="B31" s="6" t="s">
        <v>36</v>
      </c>
      <c r="C31" s="6" t="s">
        <v>54</v>
      </c>
      <c r="D31" s="5">
        <v>7</v>
      </c>
      <c r="E31" s="7">
        <f t="shared" si="0"/>
        <v>51486.899999999994</v>
      </c>
      <c r="F31" s="7">
        <v>68649.2</v>
      </c>
      <c r="G31" s="7">
        <v>480544.4</v>
      </c>
      <c r="H31" s="7">
        <f t="shared" si="1"/>
        <v>120136.10000000002</v>
      </c>
      <c r="I31" s="8">
        <v>45501</v>
      </c>
      <c r="J31" s="6" t="s">
        <v>27</v>
      </c>
    </row>
    <row r="32" spans="1:10" x14ac:dyDescent="0.25">
      <c r="A32" s="6" t="s">
        <v>64</v>
      </c>
      <c r="B32" s="6" t="s">
        <v>65</v>
      </c>
      <c r="C32" s="6" t="s">
        <v>66</v>
      </c>
      <c r="D32" s="5">
        <v>47</v>
      </c>
      <c r="E32" s="7">
        <f t="shared" si="0"/>
        <v>118416.93</v>
      </c>
      <c r="F32" s="7">
        <v>157889.24</v>
      </c>
      <c r="G32" s="7">
        <v>7420794.2799999993</v>
      </c>
      <c r="H32" s="7">
        <f t="shared" si="1"/>
        <v>1855198.5699999998</v>
      </c>
      <c r="I32" s="8">
        <v>45138</v>
      </c>
      <c r="J32" s="6" t="s">
        <v>17</v>
      </c>
    </row>
    <row r="33" spans="1:10" x14ac:dyDescent="0.25">
      <c r="A33" s="6" t="s">
        <v>67</v>
      </c>
      <c r="B33" s="6" t="s">
        <v>19</v>
      </c>
      <c r="C33" s="6" t="s">
        <v>26</v>
      </c>
      <c r="D33" s="5">
        <v>68</v>
      </c>
      <c r="E33" s="7">
        <f t="shared" si="0"/>
        <v>11910.6525</v>
      </c>
      <c r="F33" s="7">
        <v>15880.87</v>
      </c>
      <c r="G33" s="7">
        <v>1079899.1599999999</v>
      </c>
      <c r="H33" s="7">
        <f t="shared" si="1"/>
        <v>269974.79000000004</v>
      </c>
      <c r="I33" s="8">
        <v>45398</v>
      </c>
      <c r="J33" s="6" t="s">
        <v>17</v>
      </c>
    </row>
    <row r="34" spans="1:10" x14ac:dyDescent="0.25">
      <c r="A34" s="6" t="s">
        <v>68</v>
      </c>
      <c r="B34" s="6" t="s">
        <v>25</v>
      </c>
      <c r="C34" s="6" t="s">
        <v>54</v>
      </c>
      <c r="D34" s="5">
        <v>96</v>
      </c>
      <c r="E34" s="7">
        <f t="shared" si="0"/>
        <v>108295.8075</v>
      </c>
      <c r="F34" s="7">
        <v>144394.41</v>
      </c>
      <c r="G34" s="7">
        <v>13861863.359999999</v>
      </c>
      <c r="H34" s="7">
        <f t="shared" si="1"/>
        <v>3465465.8400000008</v>
      </c>
      <c r="I34" s="8">
        <v>45548</v>
      </c>
      <c r="J34" s="6" t="s">
        <v>13</v>
      </c>
    </row>
    <row r="35" spans="1:10" x14ac:dyDescent="0.25">
      <c r="A35" s="6" t="s">
        <v>69</v>
      </c>
      <c r="B35" s="6" t="s">
        <v>43</v>
      </c>
      <c r="C35" s="6" t="s">
        <v>54</v>
      </c>
      <c r="D35" s="5">
        <v>47</v>
      </c>
      <c r="E35" s="7">
        <f t="shared" si="0"/>
        <v>118130.685</v>
      </c>
      <c r="F35" s="7">
        <v>157507.57999999999</v>
      </c>
      <c r="G35" s="7">
        <v>7402856.2599999998</v>
      </c>
      <c r="H35" s="7">
        <f t="shared" si="1"/>
        <v>1850714.0649999995</v>
      </c>
      <c r="I35" s="8">
        <v>45562</v>
      </c>
      <c r="J35" s="6" t="s">
        <v>13</v>
      </c>
    </row>
    <row r="36" spans="1:10" x14ac:dyDescent="0.25">
      <c r="A36" s="6" t="s">
        <v>70</v>
      </c>
      <c r="B36" s="6" t="s">
        <v>65</v>
      </c>
      <c r="C36" s="6" t="s">
        <v>66</v>
      </c>
      <c r="D36" s="5">
        <v>47</v>
      </c>
      <c r="E36" s="7">
        <f t="shared" si="0"/>
        <v>162370.69500000001</v>
      </c>
      <c r="F36" s="7">
        <v>216494.26</v>
      </c>
      <c r="G36" s="7">
        <v>10175230.220000001</v>
      </c>
      <c r="H36" s="7">
        <f t="shared" si="1"/>
        <v>2543807.5550000002</v>
      </c>
      <c r="I36" s="8">
        <v>45404</v>
      </c>
      <c r="J36" s="6" t="s">
        <v>13</v>
      </c>
    </row>
    <row r="37" spans="1:10" x14ac:dyDescent="0.25">
      <c r="A37" s="6" t="s">
        <v>71</v>
      </c>
      <c r="B37" s="6" t="s">
        <v>11</v>
      </c>
      <c r="C37" s="6" t="s">
        <v>54</v>
      </c>
      <c r="D37" s="5">
        <v>47</v>
      </c>
      <c r="E37" s="7">
        <f t="shared" si="0"/>
        <v>174370.905</v>
      </c>
      <c r="F37" s="7">
        <v>232494.54</v>
      </c>
      <c r="G37" s="7">
        <v>10927243.380000001</v>
      </c>
      <c r="H37" s="7">
        <f t="shared" si="1"/>
        <v>2731810.8450000007</v>
      </c>
      <c r="I37" s="8">
        <v>45481</v>
      </c>
      <c r="J37" s="6" t="s">
        <v>17</v>
      </c>
    </row>
    <row r="38" spans="1:10" x14ac:dyDescent="0.25">
      <c r="A38" s="6" t="s">
        <v>72</v>
      </c>
      <c r="B38" s="6" t="s">
        <v>32</v>
      </c>
      <c r="C38" s="6" t="s">
        <v>12</v>
      </c>
      <c r="D38" s="5">
        <v>47</v>
      </c>
      <c r="E38" s="7">
        <f t="shared" si="0"/>
        <v>85775.257499999992</v>
      </c>
      <c r="F38" s="7">
        <v>114367.01</v>
      </c>
      <c r="G38" s="7">
        <v>5375249.4699999997</v>
      </c>
      <c r="H38" s="7">
        <f t="shared" si="1"/>
        <v>1343812.3675000002</v>
      </c>
      <c r="I38" s="8">
        <v>45742</v>
      </c>
      <c r="J38" s="6" t="s">
        <v>27</v>
      </c>
    </row>
    <row r="39" spans="1:10" x14ac:dyDescent="0.25">
      <c r="A39" s="6" t="s">
        <v>73</v>
      </c>
      <c r="B39" s="6" t="s">
        <v>74</v>
      </c>
      <c r="C39" s="6" t="s">
        <v>66</v>
      </c>
      <c r="D39" s="5">
        <v>65</v>
      </c>
      <c r="E39" s="7">
        <f t="shared" si="0"/>
        <v>184940.66999999998</v>
      </c>
      <c r="F39" s="7">
        <v>246587.56</v>
      </c>
      <c r="G39" s="7">
        <v>16028191.4</v>
      </c>
      <c r="H39" s="7">
        <f t="shared" si="1"/>
        <v>4007047.850000001</v>
      </c>
      <c r="I39" s="8">
        <v>45546</v>
      </c>
      <c r="J39" s="6" t="s">
        <v>17</v>
      </c>
    </row>
    <row r="40" spans="1:10" x14ac:dyDescent="0.25">
      <c r="A40" s="6" t="s">
        <v>75</v>
      </c>
      <c r="B40" s="6" t="s">
        <v>11</v>
      </c>
      <c r="C40" s="6" t="s">
        <v>45</v>
      </c>
      <c r="D40" s="5">
        <v>79</v>
      </c>
      <c r="E40" s="7">
        <f t="shared" si="0"/>
        <v>54778.402499999997</v>
      </c>
      <c r="F40" s="7">
        <v>73037.87</v>
      </c>
      <c r="G40" s="7">
        <v>5769991.7300000004</v>
      </c>
      <c r="H40" s="7">
        <f t="shared" si="1"/>
        <v>1442497.9324999999</v>
      </c>
      <c r="I40" s="8">
        <v>45218</v>
      </c>
      <c r="J40" s="6" t="s">
        <v>17</v>
      </c>
    </row>
    <row r="41" spans="1:10" x14ac:dyDescent="0.25">
      <c r="A41" s="5" t="s">
        <v>10</v>
      </c>
      <c r="B41" s="6" t="s">
        <v>76</v>
      </c>
      <c r="C41" s="6" t="s">
        <v>23</v>
      </c>
      <c r="D41" s="5">
        <v>47</v>
      </c>
      <c r="E41" s="7">
        <f t="shared" si="0"/>
        <v>128988.59999999999</v>
      </c>
      <c r="F41" s="7">
        <v>171984.8</v>
      </c>
      <c r="G41" s="7">
        <v>8083285.5999999996</v>
      </c>
      <c r="H41" s="7">
        <f t="shared" si="1"/>
        <v>2020821.4</v>
      </c>
      <c r="I41" s="8">
        <v>45593</v>
      </c>
      <c r="J41" s="6" t="s">
        <v>13</v>
      </c>
    </row>
    <row r="42" spans="1:10" x14ac:dyDescent="0.25">
      <c r="A42" s="6" t="s">
        <v>77</v>
      </c>
      <c r="B42" s="6" t="s">
        <v>76</v>
      </c>
      <c r="C42" s="6" t="s">
        <v>54</v>
      </c>
      <c r="D42" s="5">
        <v>47</v>
      </c>
      <c r="E42" s="7">
        <f t="shared" si="0"/>
        <v>118416.93</v>
      </c>
      <c r="F42" s="7">
        <v>157889.24</v>
      </c>
      <c r="G42" s="7">
        <v>7420794.2799999993</v>
      </c>
      <c r="H42" s="7">
        <f t="shared" si="1"/>
        <v>1855198.5699999998</v>
      </c>
      <c r="I42" s="8">
        <v>45804</v>
      </c>
      <c r="J42" s="6" t="s">
        <v>40</v>
      </c>
    </row>
    <row r="43" spans="1:10" x14ac:dyDescent="0.25">
      <c r="A43" s="6" t="s">
        <v>78</v>
      </c>
      <c r="B43" s="6" t="s">
        <v>49</v>
      </c>
      <c r="C43" s="6" t="s">
        <v>54</v>
      </c>
      <c r="D43" s="5">
        <v>47</v>
      </c>
      <c r="E43" s="7">
        <f t="shared" si="0"/>
        <v>157729.50750000001</v>
      </c>
      <c r="F43" s="7">
        <v>210306.01</v>
      </c>
      <c r="G43" s="7">
        <v>9884382.4700000007</v>
      </c>
      <c r="H43" s="7">
        <f t="shared" si="1"/>
        <v>2471095.6175000002</v>
      </c>
      <c r="I43" s="8">
        <v>45184</v>
      </c>
      <c r="J43" s="6" t="s">
        <v>13</v>
      </c>
    </row>
    <row r="44" spans="1:10" x14ac:dyDescent="0.25">
      <c r="A44" s="6" t="s">
        <v>79</v>
      </c>
      <c r="B44" s="6" t="s">
        <v>19</v>
      </c>
      <c r="C44" s="6" t="s">
        <v>26</v>
      </c>
      <c r="D44" s="5">
        <v>4</v>
      </c>
      <c r="E44" s="7">
        <f t="shared" si="0"/>
        <v>43229.932500000003</v>
      </c>
      <c r="F44" s="7">
        <v>57639.91</v>
      </c>
      <c r="G44" s="7">
        <v>230559.64</v>
      </c>
      <c r="H44" s="7">
        <f t="shared" si="1"/>
        <v>57639.91</v>
      </c>
      <c r="I44" s="8">
        <v>45169</v>
      </c>
      <c r="J44" s="6" t="s">
        <v>40</v>
      </c>
    </row>
    <row r="45" spans="1:10" x14ac:dyDescent="0.25">
      <c r="A45" s="6" t="s">
        <v>80</v>
      </c>
      <c r="B45" s="6" t="s">
        <v>38</v>
      </c>
      <c r="C45" s="6" t="s">
        <v>12</v>
      </c>
      <c r="D45" s="5">
        <v>47</v>
      </c>
      <c r="E45" s="7">
        <f t="shared" si="0"/>
        <v>99443.287499999991</v>
      </c>
      <c r="F45" s="7">
        <v>132591.04999999999</v>
      </c>
      <c r="G45" s="7">
        <v>6231779.3499999996</v>
      </c>
      <c r="H45" s="7">
        <f t="shared" si="1"/>
        <v>1557944.8374999999</v>
      </c>
      <c r="I45" s="8">
        <v>45358</v>
      </c>
      <c r="J45" s="6" t="s">
        <v>27</v>
      </c>
    </row>
    <row r="46" spans="1:10" x14ac:dyDescent="0.25">
      <c r="A46" s="6" t="s">
        <v>81</v>
      </c>
      <c r="B46" s="6" t="s">
        <v>58</v>
      </c>
      <c r="C46" s="6" t="s">
        <v>26</v>
      </c>
      <c r="D46" s="5">
        <v>47</v>
      </c>
      <c r="E46" s="7">
        <f t="shared" si="0"/>
        <v>94443.524999999994</v>
      </c>
      <c r="F46" s="7">
        <v>125924.7</v>
      </c>
      <c r="G46" s="7">
        <v>5918460.8999999994</v>
      </c>
      <c r="H46" s="7">
        <f t="shared" si="1"/>
        <v>1479615.2250000001</v>
      </c>
      <c r="I46" s="8">
        <v>45427</v>
      </c>
      <c r="J46" s="6" t="s">
        <v>27</v>
      </c>
    </row>
    <row r="47" spans="1:10" x14ac:dyDescent="0.25">
      <c r="A47" s="6" t="s">
        <v>82</v>
      </c>
      <c r="B47" s="6" t="s">
        <v>30</v>
      </c>
      <c r="C47" s="6" t="s">
        <v>23</v>
      </c>
      <c r="D47" s="5">
        <v>47</v>
      </c>
      <c r="E47" s="7">
        <f t="shared" si="0"/>
        <v>93136.162500000006</v>
      </c>
      <c r="F47" s="7">
        <v>124181.55</v>
      </c>
      <c r="G47" s="7">
        <v>5836532.8500000006</v>
      </c>
      <c r="H47" s="7">
        <f t="shared" si="1"/>
        <v>1459133.2124999999</v>
      </c>
      <c r="I47" s="8">
        <v>45674</v>
      </c>
      <c r="J47" s="5" t="s">
        <v>10</v>
      </c>
    </row>
    <row r="48" spans="1:10" x14ac:dyDescent="0.25">
      <c r="A48" s="6" t="s">
        <v>83</v>
      </c>
      <c r="B48" s="6" t="s">
        <v>11</v>
      </c>
      <c r="C48" s="6" t="s">
        <v>54</v>
      </c>
      <c r="D48" s="5">
        <v>47</v>
      </c>
      <c r="E48" s="7">
        <f t="shared" si="0"/>
        <v>46174.17</v>
      </c>
      <c r="F48" s="7">
        <v>61565.56</v>
      </c>
      <c r="G48" s="7">
        <v>2893581.32</v>
      </c>
      <c r="H48" s="7">
        <f t="shared" si="1"/>
        <v>723395.33</v>
      </c>
      <c r="I48" s="8">
        <v>45676</v>
      </c>
      <c r="J48" s="5" t="s">
        <v>10</v>
      </c>
    </row>
    <row r="49" spans="1:10" x14ac:dyDescent="0.25">
      <c r="A49" s="6" t="s">
        <v>84</v>
      </c>
      <c r="B49" s="6" t="s">
        <v>74</v>
      </c>
      <c r="C49" s="6" t="s">
        <v>12</v>
      </c>
      <c r="D49" s="5">
        <v>10</v>
      </c>
      <c r="E49" s="7">
        <f t="shared" si="0"/>
        <v>113096.205</v>
      </c>
      <c r="F49" s="7">
        <v>150794.94</v>
      </c>
      <c r="G49" s="7">
        <v>1507949.4</v>
      </c>
      <c r="H49" s="7">
        <f t="shared" si="1"/>
        <v>376987.35</v>
      </c>
      <c r="I49" s="8">
        <v>45489</v>
      </c>
      <c r="J49" s="5" t="s">
        <v>10</v>
      </c>
    </row>
    <row r="50" spans="1:10" x14ac:dyDescent="0.25">
      <c r="A50" s="6" t="s">
        <v>85</v>
      </c>
      <c r="B50" s="6" t="s">
        <v>32</v>
      </c>
      <c r="C50" s="6" t="s">
        <v>66</v>
      </c>
      <c r="D50" s="5">
        <v>47</v>
      </c>
      <c r="E50" s="7">
        <f t="shared" si="0"/>
        <v>137728.26</v>
      </c>
      <c r="F50" s="7">
        <v>183637.68</v>
      </c>
      <c r="G50" s="7">
        <v>8630970.959999999</v>
      </c>
      <c r="H50" s="7">
        <f t="shared" si="1"/>
        <v>2157742.7399999993</v>
      </c>
      <c r="I50" s="8">
        <v>45526</v>
      </c>
      <c r="J50" s="6" t="s">
        <v>27</v>
      </c>
    </row>
    <row r="51" spans="1:10" x14ac:dyDescent="0.25">
      <c r="A51" s="6" t="s">
        <v>86</v>
      </c>
      <c r="B51" s="6" t="s">
        <v>30</v>
      </c>
      <c r="C51" s="6" t="s">
        <v>54</v>
      </c>
      <c r="D51" s="5">
        <v>19</v>
      </c>
      <c r="E51" s="7">
        <f t="shared" si="0"/>
        <v>106309.38</v>
      </c>
      <c r="F51" s="7">
        <v>141745.84</v>
      </c>
      <c r="G51" s="7">
        <v>2693170.96</v>
      </c>
      <c r="H51" s="7">
        <f t="shared" si="1"/>
        <v>673292.73999999987</v>
      </c>
      <c r="I51" s="8">
        <v>45437</v>
      </c>
      <c r="J51" s="6" t="s">
        <v>13</v>
      </c>
    </row>
    <row r="52" spans="1:10" x14ac:dyDescent="0.25">
      <c r="A52" s="6" t="s">
        <v>87</v>
      </c>
      <c r="B52" s="6" t="s">
        <v>88</v>
      </c>
      <c r="C52" s="6" t="s">
        <v>45</v>
      </c>
      <c r="D52" s="5">
        <v>47</v>
      </c>
      <c r="E52" s="7">
        <f t="shared" si="0"/>
        <v>118416.93</v>
      </c>
      <c r="F52" s="7">
        <v>157889.24</v>
      </c>
      <c r="G52" s="7">
        <v>7420794.2799999993</v>
      </c>
      <c r="H52" s="7">
        <f t="shared" si="1"/>
        <v>1855198.5699999998</v>
      </c>
      <c r="I52" s="8">
        <v>45715</v>
      </c>
      <c r="J52" s="6" t="s">
        <v>13</v>
      </c>
    </row>
    <row r="53" spans="1:10" x14ac:dyDescent="0.25">
      <c r="A53" s="6" t="s">
        <v>89</v>
      </c>
      <c r="B53" s="6" t="s">
        <v>49</v>
      </c>
      <c r="C53" s="6" t="s">
        <v>54</v>
      </c>
      <c r="D53" s="5">
        <v>47</v>
      </c>
      <c r="E53" s="7">
        <f t="shared" si="0"/>
        <v>190941.6825</v>
      </c>
      <c r="F53" s="7">
        <v>254588.91</v>
      </c>
      <c r="G53" s="7">
        <v>11965678.77</v>
      </c>
      <c r="H53" s="7">
        <f t="shared" si="1"/>
        <v>2991419.6925000004</v>
      </c>
      <c r="I53" s="8">
        <v>45436</v>
      </c>
      <c r="J53" s="6" t="s">
        <v>13</v>
      </c>
    </row>
    <row r="54" spans="1:10" x14ac:dyDescent="0.25">
      <c r="A54" s="5" t="s">
        <v>10</v>
      </c>
      <c r="B54" s="6" t="s">
        <v>76</v>
      </c>
      <c r="C54" s="6" t="s">
        <v>16</v>
      </c>
      <c r="D54" s="5">
        <v>47</v>
      </c>
      <c r="E54" s="7">
        <f t="shared" si="0"/>
        <v>163767.69750000001</v>
      </c>
      <c r="F54" s="7">
        <v>218356.93</v>
      </c>
      <c r="G54" s="7">
        <v>10262775.709999999</v>
      </c>
      <c r="H54" s="7">
        <f t="shared" si="1"/>
        <v>2565693.9274999993</v>
      </c>
      <c r="I54" s="8">
        <v>45757</v>
      </c>
      <c r="J54" s="6" t="s">
        <v>17</v>
      </c>
    </row>
    <row r="55" spans="1:10" x14ac:dyDescent="0.25">
      <c r="A55" s="6" t="s">
        <v>90</v>
      </c>
      <c r="B55" s="6" t="s">
        <v>34</v>
      </c>
      <c r="C55" s="6" t="s">
        <v>12</v>
      </c>
      <c r="D55" s="5">
        <v>47</v>
      </c>
      <c r="E55" s="7">
        <f t="shared" si="0"/>
        <v>158909.76000000001</v>
      </c>
      <c r="F55" s="7">
        <v>211879.67999999999</v>
      </c>
      <c r="G55" s="7">
        <v>9958344.959999999</v>
      </c>
      <c r="H55" s="7">
        <f t="shared" si="1"/>
        <v>2489586.2399999993</v>
      </c>
      <c r="I55" s="8">
        <v>45564</v>
      </c>
      <c r="J55" s="5" t="s">
        <v>10</v>
      </c>
    </row>
    <row r="56" spans="1:10" x14ac:dyDescent="0.25">
      <c r="A56" s="6" t="s">
        <v>91</v>
      </c>
      <c r="B56" s="6" t="s">
        <v>43</v>
      </c>
      <c r="C56" s="6" t="s">
        <v>16</v>
      </c>
      <c r="D56" s="5">
        <v>47</v>
      </c>
      <c r="E56" s="7">
        <f t="shared" si="0"/>
        <v>116884.215</v>
      </c>
      <c r="F56" s="7">
        <v>155845.62</v>
      </c>
      <c r="G56" s="7">
        <v>7324744.1399999997</v>
      </c>
      <c r="H56" s="7">
        <f t="shared" si="1"/>
        <v>1831186.0349999999</v>
      </c>
      <c r="I56" s="8">
        <v>45175</v>
      </c>
      <c r="J56" s="6" t="s">
        <v>13</v>
      </c>
    </row>
    <row r="57" spans="1:10" x14ac:dyDescent="0.25">
      <c r="A57" s="6" t="s">
        <v>92</v>
      </c>
      <c r="B57" s="6" t="s">
        <v>32</v>
      </c>
      <c r="C57" s="6" t="s">
        <v>66</v>
      </c>
      <c r="D57" s="5">
        <v>47</v>
      </c>
      <c r="E57" s="7">
        <f t="shared" si="0"/>
        <v>126364.1925</v>
      </c>
      <c r="F57" s="7">
        <v>168485.59</v>
      </c>
      <c r="G57" s="7">
        <v>7918822.7299999995</v>
      </c>
      <c r="H57" s="7">
        <f t="shared" si="1"/>
        <v>1979705.6824999996</v>
      </c>
      <c r="I57" s="8">
        <v>45215</v>
      </c>
      <c r="J57" s="5" t="s">
        <v>10</v>
      </c>
    </row>
    <row r="58" spans="1:10" x14ac:dyDescent="0.25">
      <c r="A58" s="6" t="s">
        <v>93</v>
      </c>
      <c r="B58" s="6" t="s">
        <v>38</v>
      </c>
      <c r="C58" s="6" t="s">
        <v>54</v>
      </c>
      <c r="D58" s="5">
        <v>47</v>
      </c>
      <c r="E58" s="7">
        <f t="shared" si="0"/>
        <v>224578.34999999998</v>
      </c>
      <c r="F58" s="7">
        <v>299437.8</v>
      </c>
      <c r="G58" s="7">
        <v>14073576.6</v>
      </c>
      <c r="H58" s="7">
        <f t="shared" si="1"/>
        <v>3518394.1500000004</v>
      </c>
      <c r="I58" s="8">
        <v>45364</v>
      </c>
      <c r="J58" s="5" t="s">
        <v>10</v>
      </c>
    </row>
    <row r="59" spans="1:10" x14ac:dyDescent="0.25">
      <c r="A59" s="6" t="s">
        <v>94</v>
      </c>
      <c r="B59" s="6" t="s">
        <v>21</v>
      </c>
      <c r="C59" s="6" t="s">
        <v>66</v>
      </c>
      <c r="D59" s="5">
        <v>47</v>
      </c>
      <c r="E59" s="7">
        <f t="shared" si="0"/>
        <v>107829.08249999999</v>
      </c>
      <c r="F59" s="7">
        <v>143772.10999999999</v>
      </c>
      <c r="G59" s="7">
        <v>6757289.169999999</v>
      </c>
      <c r="H59" s="7">
        <f t="shared" si="1"/>
        <v>1689322.2924999997</v>
      </c>
      <c r="I59" s="8">
        <v>45616</v>
      </c>
      <c r="J59" s="6" t="s">
        <v>17</v>
      </c>
    </row>
    <row r="60" spans="1:10" x14ac:dyDescent="0.25">
      <c r="A60" s="6" t="s">
        <v>95</v>
      </c>
      <c r="B60" s="6" t="s">
        <v>88</v>
      </c>
      <c r="C60" s="6" t="s">
        <v>39</v>
      </c>
      <c r="D60" s="5">
        <v>47</v>
      </c>
      <c r="E60" s="7">
        <f t="shared" si="0"/>
        <v>85019.264999999999</v>
      </c>
      <c r="F60" s="7">
        <v>113359.02</v>
      </c>
      <c r="G60" s="7">
        <v>5327873.9400000004</v>
      </c>
      <c r="H60" s="7">
        <f t="shared" si="1"/>
        <v>1331968.4850000003</v>
      </c>
      <c r="I60" s="8">
        <v>45175</v>
      </c>
      <c r="J60" s="6" t="s">
        <v>27</v>
      </c>
    </row>
    <row r="61" spans="1:10" x14ac:dyDescent="0.25">
      <c r="A61" s="6" t="s">
        <v>96</v>
      </c>
      <c r="B61" s="6" t="s">
        <v>32</v>
      </c>
      <c r="C61" s="6" t="s">
        <v>54</v>
      </c>
      <c r="D61" s="5">
        <v>47</v>
      </c>
      <c r="E61" s="7">
        <f t="shared" si="0"/>
        <v>215270.47499999998</v>
      </c>
      <c r="F61" s="7">
        <v>287027.3</v>
      </c>
      <c r="G61" s="7">
        <v>13490283.1</v>
      </c>
      <c r="H61" s="7">
        <f t="shared" si="1"/>
        <v>3372570.7750000004</v>
      </c>
      <c r="I61" s="8">
        <v>45467</v>
      </c>
      <c r="J61" s="6" t="s">
        <v>13</v>
      </c>
    </row>
    <row r="62" spans="1:10" x14ac:dyDescent="0.25">
      <c r="A62" s="6" t="s">
        <v>97</v>
      </c>
      <c r="B62" s="6" t="s">
        <v>21</v>
      </c>
      <c r="C62" s="6" t="s">
        <v>16</v>
      </c>
      <c r="D62" s="5">
        <v>47</v>
      </c>
      <c r="E62" s="7">
        <f t="shared" si="0"/>
        <v>118416.93</v>
      </c>
      <c r="F62" s="7">
        <v>157889.24</v>
      </c>
      <c r="G62" s="7">
        <v>7420794.2799999993</v>
      </c>
      <c r="H62" s="7">
        <f t="shared" si="1"/>
        <v>1855198.5699999998</v>
      </c>
      <c r="I62" s="8">
        <v>45479</v>
      </c>
      <c r="J62" s="6" t="s">
        <v>17</v>
      </c>
    </row>
    <row r="63" spans="1:10" x14ac:dyDescent="0.25">
      <c r="A63" s="6" t="s">
        <v>98</v>
      </c>
      <c r="B63" s="6" t="s">
        <v>11</v>
      </c>
      <c r="C63" s="6" t="s">
        <v>12</v>
      </c>
      <c r="D63" s="5">
        <v>93</v>
      </c>
      <c r="E63" s="7">
        <f t="shared" si="0"/>
        <v>103626.92250000002</v>
      </c>
      <c r="F63" s="7">
        <v>138169.23000000001</v>
      </c>
      <c r="G63" s="7">
        <v>12849738.390000001</v>
      </c>
      <c r="H63" s="7">
        <f t="shared" si="1"/>
        <v>3212434.5974999997</v>
      </c>
      <c r="I63" s="8">
        <v>45646</v>
      </c>
      <c r="J63" s="6" t="s">
        <v>27</v>
      </c>
    </row>
    <row r="64" spans="1:10" x14ac:dyDescent="0.25">
      <c r="A64" s="6" t="s">
        <v>99</v>
      </c>
      <c r="B64" s="6" t="s">
        <v>74</v>
      </c>
      <c r="C64" s="6" t="s">
        <v>16</v>
      </c>
      <c r="D64" s="5">
        <v>47</v>
      </c>
      <c r="E64" s="7">
        <f t="shared" si="0"/>
        <v>120128.67</v>
      </c>
      <c r="F64" s="7">
        <v>160171.56</v>
      </c>
      <c r="G64" s="7">
        <v>7528063.3200000003</v>
      </c>
      <c r="H64" s="7">
        <f t="shared" si="1"/>
        <v>1882015.83</v>
      </c>
      <c r="I64" s="8">
        <v>45519</v>
      </c>
      <c r="J64" s="6" t="s">
        <v>27</v>
      </c>
    </row>
    <row r="65" spans="1:10" x14ac:dyDescent="0.25">
      <c r="A65" s="6" t="s">
        <v>100</v>
      </c>
      <c r="B65" s="6" t="s">
        <v>19</v>
      </c>
      <c r="C65" s="6" t="s">
        <v>66</v>
      </c>
      <c r="D65" s="5">
        <v>47</v>
      </c>
      <c r="E65" s="7">
        <f t="shared" si="0"/>
        <v>123081.6225</v>
      </c>
      <c r="F65" s="7">
        <v>164108.82999999999</v>
      </c>
      <c r="G65" s="7">
        <v>7713115.0099999998</v>
      </c>
      <c r="H65" s="7">
        <f t="shared" si="1"/>
        <v>1928278.7524999995</v>
      </c>
      <c r="I65" s="8">
        <v>45385</v>
      </c>
      <c r="J65" s="6" t="s">
        <v>13</v>
      </c>
    </row>
    <row r="66" spans="1:10" x14ac:dyDescent="0.25">
      <c r="A66" s="6" t="s">
        <v>101</v>
      </c>
      <c r="B66" s="6" t="s">
        <v>58</v>
      </c>
      <c r="C66" s="6" t="s">
        <v>23</v>
      </c>
      <c r="D66" s="5">
        <v>47</v>
      </c>
      <c r="E66" s="7">
        <f t="shared" si="0"/>
        <v>152191.98000000001</v>
      </c>
      <c r="F66" s="7">
        <v>202922.64</v>
      </c>
      <c r="G66" s="7">
        <v>9537364.0800000001</v>
      </c>
      <c r="H66" s="7">
        <f t="shared" si="1"/>
        <v>2384341.02</v>
      </c>
      <c r="I66" s="8">
        <v>45217</v>
      </c>
      <c r="J66" s="5" t="s">
        <v>10</v>
      </c>
    </row>
    <row r="67" spans="1:10" x14ac:dyDescent="0.25">
      <c r="A67" s="5" t="s">
        <v>10</v>
      </c>
      <c r="B67" s="6" t="s">
        <v>76</v>
      </c>
      <c r="C67" s="6" t="s">
        <v>54</v>
      </c>
      <c r="D67" s="5">
        <v>47</v>
      </c>
      <c r="E67" s="7">
        <f t="shared" si="0"/>
        <v>195271.86749999999</v>
      </c>
      <c r="F67" s="7">
        <v>260362.49</v>
      </c>
      <c r="G67" s="7">
        <v>12237037.029999999</v>
      </c>
      <c r="H67" s="7">
        <f t="shared" si="1"/>
        <v>3059259.2574999998</v>
      </c>
      <c r="I67" s="8">
        <v>45799</v>
      </c>
      <c r="J67" s="6" t="s">
        <v>40</v>
      </c>
    </row>
    <row r="68" spans="1:10" x14ac:dyDescent="0.25">
      <c r="A68" s="6" t="s">
        <v>102</v>
      </c>
      <c r="B68" s="6" t="s">
        <v>62</v>
      </c>
      <c r="C68" s="6" t="s">
        <v>45</v>
      </c>
      <c r="D68" s="5">
        <v>94</v>
      </c>
      <c r="E68" s="7">
        <f t="shared" si="0"/>
        <v>153287.54250000001</v>
      </c>
      <c r="F68" s="7">
        <v>204383.39</v>
      </c>
      <c r="G68" s="7">
        <v>19212038.66</v>
      </c>
      <c r="H68" s="7">
        <f t="shared" si="1"/>
        <v>4803009.665</v>
      </c>
      <c r="I68" s="8">
        <v>45761</v>
      </c>
      <c r="J68" s="5" t="s">
        <v>10</v>
      </c>
    </row>
    <row r="69" spans="1:10" x14ac:dyDescent="0.25">
      <c r="A69" s="6" t="s">
        <v>103</v>
      </c>
      <c r="B69" s="6" t="s">
        <v>76</v>
      </c>
      <c r="C69" s="6" t="s">
        <v>26</v>
      </c>
      <c r="D69" s="5">
        <v>47</v>
      </c>
      <c r="E69" s="7">
        <f t="shared" si="0"/>
        <v>180895.44750000001</v>
      </c>
      <c r="F69" s="7">
        <v>241193.93</v>
      </c>
      <c r="G69" s="7">
        <v>11336114.709999999</v>
      </c>
      <c r="H69" s="7">
        <f t="shared" si="1"/>
        <v>2834028.6774999993</v>
      </c>
      <c r="I69" s="8">
        <v>45724</v>
      </c>
      <c r="J69" s="5" t="s">
        <v>10</v>
      </c>
    </row>
    <row r="70" spans="1:10" x14ac:dyDescent="0.25">
      <c r="A70" s="6" t="s">
        <v>104</v>
      </c>
      <c r="B70" s="6" t="s">
        <v>76</v>
      </c>
      <c r="C70" s="6" t="s">
        <v>12</v>
      </c>
      <c r="D70" s="5">
        <v>47</v>
      </c>
      <c r="E70" s="7">
        <f t="shared" si="0"/>
        <v>59757.352500000001</v>
      </c>
      <c r="F70" s="7">
        <v>79676.47</v>
      </c>
      <c r="G70" s="7">
        <v>3744794.09</v>
      </c>
      <c r="H70" s="7">
        <f t="shared" si="1"/>
        <v>936198.52249999996</v>
      </c>
      <c r="I70" s="8">
        <v>45546</v>
      </c>
      <c r="J70" s="6" t="s">
        <v>40</v>
      </c>
    </row>
    <row r="71" spans="1:10" x14ac:dyDescent="0.25">
      <c r="A71" s="6" t="s">
        <v>105</v>
      </c>
      <c r="B71" s="6" t="s">
        <v>43</v>
      </c>
      <c r="C71" s="6" t="s">
        <v>45</v>
      </c>
      <c r="D71" s="5">
        <v>47</v>
      </c>
      <c r="E71" s="7">
        <f t="shared" si="0"/>
        <v>109133.955</v>
      </c>
      <c r="F71" s="7">
        <v>145511.94</v>
      </c>
      <c r="G71" s="7">
        <v>6839061.1799999997</v>
      </c>
      <c r="H71" s="7">
        <f t="shared" si="1"/>
        <v>1709765.2949999999</v>
      </c>
      <c r="I71" s="8">
        <v>45614</v>
      </c>
      <c r="J71" s="6" t="s">
        <v>27</v>
      </c>
    </row>
    <row r="72" spans="1:10" x14ac:dyDescent="0.25">
      <c r="A72" s="6" t="s">
        <v>106</v>
      </c>
      <c r="B72" s="6" t="s">
        <v>19</v>
      </c>
      <c r="C72" s="6" t="s">
        <v>45</v>
      </c>
      <c r="D72" s="5">
        <v>47</v>
      </c>
      <c r="E72" s="7">
        <f t="shared" si="0"/>
        <v>118416.93</v>
      </c>
      <c r="F72" s="7">
        <v>157889.24</v>
      </c>
      <c r="G72" s="7">
        <v>7420794.2799999993</v>
      </c>
      <c r="H72" s="7">
        <f t="shared" si="1"/>
        <v>1855198.5699999998</v>
      </c>
      <c r="I72" s="8">
        <v>45574</v>
      </c>
      <c r="J72" s="6" t="s">
        <v>40</v>
      </c>
    </row>
    <row r="73" spans="1:10" x14ac:dyDescent="0.25">
      <c r="A73" s="6" t="s">
        <v>107</v>
      </c>
      <c r="B73" s="6" t="s">
        <v>32</v>
      </c>
      <c r="C73" s="6" t="s">
        <v>54</v>
      </c>
      <c r="D73" s="5">
        <v>61</v>
      </c>
      <c r="E73" s="7">
        <f t="shared" si="0"/>
        <v>215416.91249999998</v>
      </c>
      <c r="F73" s="7">
        <v>287222.55</v>
      </c>
      <c r="G73" s="7">
        <v>17520575.550000001</v>
      </c>
      <c r="H73" s="7">
        <f t="shared" si="1"/>
        <v>4380143.8875000011</v>
      </c>
      <c r="I73" s="8">
        <v>45259</v>
      </c>
      <c r="J73" s="6" t="s">
        <v>40</v>
      </c>
    </row>
    <row r="74" spans="1:10" x14ac:dyDescent="0.25">
      <c r="A74" s="6" t="s">
        <v>108</v>
      </c>
      <c r="B74" s="6" t="s">
        <v>49</v>
      </c>
      <c r="C74" s="6" t="s">
        <v>23</v>
      </c>
      <c r="D74" s="5">
        <v>12</v>
      </c>
      <c r="E74" s="7">
        <f t="shared" si="0"/>
        <v>63046.815000000002</v>
      </c>
      <c r="F74" s="7">
        <v>84062.42</v>
      </c>
      <c r="G74" s="7">
        <v>1008749.04</v>
      </c>
      <c r="H74" s="7">
        <f t="shared" si="1"/>
        <v>252187.25999999995</v>
      </c>
      <c r="I74" s="8">
        <v>45714</v>
      </c>
      <c r="J74" s="6" t="s">
        <v>17</v>
      </c>
    </row>
    <row r="75" spans="1:10" x14ac:dyDescent="0.25">
      <c r="A75" s="6" t="s">
        <v>109</v>
      </c>
      <c r="B75" s="6" t="s">
        <v>62</v>
      </c>
      <c r="C75" s="6" t="s">
        <v>54</v>
      </c>
      <c r="D75" s="5">
        <v>47</v>
      </c>
      <c r="E75" s="7">
        <f t="shared" si="0"/>
        <v>67425.375</v>
      </c>
      <c r="F75" s="7">
        <v>89900.5</v>
      </c>
      <c r="G75" s="7">
        <v>4225323.5</v>
      </c>
      <c r="H75" s="7">
        <f t="shared" si="1"/>
        <v>1056330.875</v>
      </c>
      <c r="I75" s="8">
        <v>45218</v>
      </c>
      <c r="J75" s="6" t="s">
        <v>17</v>
      </c>
    </row>
    <row r="76" spans="1:10" x14ac:dyDescent="0.25">
      <c r="A76" s="6" t="s">
        <v>110</v>
      </c>
      <c r="B76" s="6" t="s">
        <v>30</v>
      </c>
      <c r="C76" s="6" t="s">
        <v>23</v>
      </c>
      <c r="D76" s="5">
        <v>47</v>
      </c>
      <c r="E76" s="7">
        <f t="shared" si="0"/>
        <v>211856.19</v>
      </c>
      <c r="F76" s="7">
        <v>282474.92</v>
      </c>
      <c r="G76" s="7">
        <v>13276321.239999998</v>
      </c>
      <c r="H76" s="7">
        <f t="shared" si="1"/>
        <v>3319080.3099999991</v>
      </c>
      <c r="I76" s="8">
        <v>45454</v>
      </c>
      <c r="J76" s="6" t="s">
        <v>17</v>
      </c>
    </row>
    <row r="77" spans="1:10" x14ac:dyDescent="0.25">
      <c r="A77" s="6" t="s">
        <v>111</v>
      </c>
      <c r="B77" s="6" t="s">
        <v>21</v>
      </c>
      <c r="C77" s="6" t="s">
        <v>39</v>
      </c>
      <c r="D77" s="5">
        <v>47</v>
      </c>
      <c r="E77" s="7">
        <f t="shared" si="0"/>
        <v>221015.22000000003</v>
      </c>
      <c r="F77" s="7">
        <v>294686.96000000002</v>
      </c>
      <c r="G77" s="7">
        <v>13850287.120000001</v>
      </c>
      <c r="H77" s="7">
        <f t="shared" si="1"/>
        <v>3462571.7799999993</v>
      </c>
      <c r="I77" s="8">
        <v>45508</v>
      </c>
      <c r="J77" s="6" t="s">
        <v>27</v>
      </c>
    </row>
    <row r="78" spans="1:10" x14ac:dyDescent="0.25">
      <c r="A78" s="6" t="s">
        <v>112</v>
      </c>
      <c r="B78" s="6" t="s">
        <v>62</v>
      </c>
      <c r="C78" s="6" t="s">
        <v>12</v>
      </c>
      <c r="D78" s="5">
        <v>47</v>
      </c>
      <c r="E78" s="7">
        <f t="shared" si="0"/>
        <v>173600.01750000002</v>
      </c>
      <c r="F78" s="7">
        <v>231466.69</v>
      </c>
      <c r="G78" s="7">
        <v>10878934.43</v>
      </c>
      <c r="H78" s="7">
        <f t="shared" si="1"/>
        <v>2719733.6074999995</v>
      </c>
      <c r="I78" s="8">
        <v>45825</v>
      </c>
      <c r="J78" s="6" t="s">
        <v>40</v>
      </c>
    </row>
    <row r="79" spans="1:10" x14ac:dyDescent="0.25">
      <c r="A79" s="6" t="s">
        <v>113</v>
      </c>
      <c r="B79" s="6" t="s">
        <v>58</v>
      </c>
      <c r="C79" s="6" t="s">
        <v>66</v>
      </c>
      <c r="D79" s="5">
        <v>47</v>
      </c>
      <c r="E79" s="7">
        <f t="shared" si="0"/>
        <v>158713.3725</v>
      </c>
      <c r="F79" s="7">
        <v>211617.83</v>
      </c>
      <c r="G79" s="7">
        <v>9946038.0099999998</v>
      </c>
      <c r="H79" s="7">
        <f t="shared" si="1"/>
        <v>2486509.5024999995</v>
      </c>
      <c r="I79" s="8">
        <v>45792</v>
      </c>
      <c r="J79" s="6" t="s">
        <v>13</v>
      </c>
    </row>
    <row r="80" spans="1:10" x14ac:dyDescent="0.25">
      <c r="A80" s="5" t="s">
        <v>10</v>
      </c>
      <c r="B80" s="6" t="s">
        <v>74</v>
      </c>
      <c r="C80" s="6" t="s">
        <v>66</v>
      </c>
      <c r="D80" s="5">
        <v>47</v>
      </c>
      <c r="E80" s="7">
        <f t="shared" si="0"/>
        <v>155420.13750000001</v>
      </c>
      <c r="F80" s="7">
        <v>207226.85</v>
      </c>
      <c r="G80" s="7">
        <v>9739661.9500000011</v>
      </c>
      <c r="H80" s="7">
        <f t="shared" si="1"/>
        <v>2434915.4874999998</v>
      </c>
      <c r="I80" s="8">
        <v>45161</v>
      </c>
      <c r="J80" s="6" t="s">
        <v>40</v>
      </c>
    </row>
    <row r="81" spans="1:10" x14ac:dyDescent="0.25">
      <c r="A81" s="6" t="s">
        <v>114</v>
      </c>
      <c r="B81" s="6" t="s">
        <v>19</v>
      </c>
      <c r="C81" s="6" t="s">
        <v>45</v>
      </c>
      <c r="D81" s="5">
        <v>47</v>
      </c>
      <c r="E81" s="7">
        <f t="shared" si="0"/>
        <v>110217.315</v>
      </c>
      <c r="F81" s="7">
        <v>146956.42000000001</v>
      </c>
      <c r="G81" s="7">
        <v>6906951.7400000002</v>
      </c>
      <c r="H81" s="7">
        <f t="shared" si="1"/>
        <v>1726737.9350000005</v>
      </c>
      <c r="I81" s="8">
        <v>45763</v>
      </c>
      <c r="J81" s="6" t="s">
        <v>27</v>
      </c>
    </row>
    <row r="82" spans="1:10" x14ac:dyDescent="0.25">
      <c r="A82" s="6" t="s">
        <v>115</v>
      </c>
      <c r="B82" s="6" t="s">
        <v>30</v>
      </c>
      <c r="C82" s="6" t="s">
        <v>26</v>
      </c>
      <c r="D82" s="5">
        <v>47</v>
      </c>
      <c r="E82" s="7">
        <f t="shared" si="0"/>
        <v>118416.93</v>
      </c>
      <c r="F82" s="7">
        <v>157889.24</v>
      </c>
      <c r="G82" s="7">
        <v>7420794.2799999993</v>
      </c>
      <c r="H82" s="7">
        <f t="shared" si="1"/>
        <v>1855198.5699999998</v>
      </c>
      <c r="I82" s="8">
        <v>45214</v>
      </c>
      <c r="J82" s="6" t="s">
        <v>17</v>
      </c>
    </row>
    <row r="83" spans="1:10" x14ac:dyDescent="0.25">
      <c r="A83" s="6" t="s">
        <v>116</v>
      </c>
      <c r="B83" s="6" t="s">
        <v>21</v>
      </c>
      <c r="C83" s="6" t="s">
        <v>39</v>
      </c>
      <c r="D83" s="5">
        <v>47</v>
      </c>
      <c r="E83" s="7">
        <f t="shared" si="0"/>
        <v>108150.8475</v>
      </c>
      <c r="F83" s="7">
        <v>144201.13</v>
      </c>
      <c r="G83" s="7">
        <v>6777453.1100000003</v>
      </c>
      <c r="H83" s="7">
        <f t="shared" si="1"/>
        <v>1694363.2775000001</v>
      </c>
      <c r="I83" s="8">
        <v>45520</v>
      </c>
      <c r="J83" s="6" t="s">
        <v>27</v>
      </c>
    </row>
    <row r="84" spans="1:10" x14ac:dyDescent="0.25">
      <c r="A84" s="6" t="s">
        <v>117</v>
      </c>
      <c r="B84" s="6" t="s">
        <v>65</v>
      </c>
      <c r="C84" s="6" t="s">
        <v>66</v>
      </c>
      <c r="D84" s="5">
        <v>47</v>
      </c>
      <c r="E84" s="7">
        <f t="shared" si="0"/>
        <v>126274.52249999999</v>
      </c>
      <c r="F84" s="7">
        <v>168366.03</v>
      </c>
      <c r="G84" s="7">
        <v>7913203.4100000001</v>
      </c>
      <c r="H84" s="7">
        <f t="shared" si="1"/>
        <v>1978300.8525000003</v>
      </c>
      <c r="I84" s="8">
        <v>45236</v>
      </c>
      <c r="J84" s="6" t="s">
        <v>17</v>
      </c>
    </row>
    <row r="85" spans="1:10" x14ac:dyDescent="0.25">
      <c r="A85" s="6" t="s">
        <v>118</v>
      </c>
      <c r="B85" s="6" t="s">
        <v>38</v>
      </c>
      <c r="C85" s="6" t="s">
        <v>66</v>
      </c>
      <c r="D85" s="5">
        <v>93</v>
      </c>
      <c r="E85" s="7">
        <f t="shared" si="0"/>
        <v>210283.7775</v>
      </c>
      <c r="F85" s="7">
        <v>280378.37</v>
      </c>
      <c r="G85" s="7">
        <v>26075188.41</v>
      </c>
      <c r="H85" s="7">
        <f t="shared" si="1"/>
        <v>6518797.1025</v>
      </c>
      <c r="I85" s="8">
        <v>45354</v>
      </c>
      <c r="J85" s="6" t="s">
        <v>27</v>
      </c>
    </row>
    <row r="86" spans="1:10" x14ac:dyDescent="0.25">
      <c r="A86" s="6" t="s">
        <v>119</v>
      </c>
      <c r="B86" s="6" t="s">
        <v>21</v>
      </c>
      <c r="C86" s="6" t="s">
        <v>26</v>
      </c>
      <c r="D86" s="5">
        <v>47</v>
      </c>
      <c r="E86" s="7">
        <f t="shared" si="0"/>
        <v>162478.86000000002</v>
      </c>
      <c r="F86" s="7">
        <v>216638.48</v>
      </c>
      <c r="G86" s="7">
        <v>10182008.560000001</v>
      </c>
      <c r="H86" s="7">
        <f t="shared" si="1"/>
        <v>2545502.1399999997</v>
      </c>
      <c r="I86" s="8">
        <v>45245</v>
      </c>
      <c r="J86" s="6" t="s">
        <v>13</v>
      </c>
    </row>
    <row r="87" spans="1:10" x14ac:dyDescent="0.25">
      <c r="A87" s="6" t="s">
        <v>120</v>
      </c>
      <c r="B87" s="6" t="s">
        <v>38</v>
      </c>
      <c r="C87" s="6" t="s">
        <v>26</v>
      </c>
      <c r="D87" s="5">
        <v>47</v>
      </c>
      <c r="E87" s="7">
        <f t="shared" si="0"/>
        <v>65019.69</v>
      </c>
      <c r="F87" s="7">
        <v>86692.92</v>
      </c>
      <c r="G87" s="7">
        <v>4074567.2399999998</v>
      </c>
      <c r="H87" s="7">
        <f t="shared" si="1"/>
        <v>1018641.8099999998</v>
      </c>
      <c r="I87" s="8">
        <v>45243</v>
      </c>
      <c r="J87" s="6" t="s">
        <v>17</v>
      </c>
    </row>
    <row r="88" spans="1:10" x14ac:dyDescent="0.25">
      <c r="A88" s="6" t="s">
        <v>121</v>
      </c>
      <c r="B88" s="6" t="s">
        <v>65</v>
      </c>
      <c r="C88" s="6" t="s">
        <v>66</v>
      </c>
      <c r="D88" s="5">
        <v>47</v>
      </c>
      <c r="E88" s="7">
        <f t="shared" si="0"/>
        <v>129192.22499999999</v>
      </c>
      <c r="F88" s="7">
        <v>172256.3</v>
      </c>
      <c r="G88" s="7">
        <v>8096046.0999999996</v>
      </c>
      <c r="H88" s="7">
        <f t="shared" si="1"/>
        <v>2024011.5249999999</v>
      </c>
      <c r="I88" s="8">
        <v>45368</v>
      </c>
      <c r="J88" s="6" t="s">
        <v>17</v>
      </c>
    </row>
    <row r="89" spans="1:10" x14ac:dyDescent="0.25">
      <c r="A89" s="6" t="s">
        <v>122</v>
      </c>
      <c r="B89" s="6" t="s">
        <v>74</v>
      </c>
      <c r="C89" s="6" t="s">
        <v>16</v>
      </c>
      <c r="D89" s="5">
        <v>65</v>
      </c>
      <c r="E89" s="7">
        <f t="shared" si="0"/>
        <v>122389.2525</v>
      </c>
      <c r="F89" s="7">
        <v>163185.67000000001</v>
      </c>
      <c r="G89" s="7">
        <v>10607068.550000001</v>
      </c>
      <c r="H89" s="7">
        <f t="shared" si="1"/>
        <v>2651767.1375000007</v>
      </c>
      <c r="I89" s="8">
        <v>45844</v>
      </c>
      <c r="J89" s="6" t="s">
        <v>40</v>
      </c>
    </row>
    <row r="90" spans="1:10" x14ac:dyDescent="0.25">
      <c r="A90" s="6" t="s">
        <v>123</v>
      </c>
      <c r="B90" s="6" t="s">
        <v>19</v>
      </c>
      <c r="C90" s="6" t="s">
        <v>26</v>
      </c>
      <c r="D90" s="5">
        <v>47</v>
      </c>
      <c r="E90" s="7">
        <f t="shared" si="0"/>
        <v>201585.19500000001</v>
      </c>
      <c r="F90" s="7">
        <v>268780.26</v>
      </c>
      <c r="G90" s="7">
        <v>12632672.220000001</v>
      </c>
      <c r="H90" s="7">
        <f t="shared" si="1"/>
        <v>3158168.0550000002</v>
      </c>
      <c r="I90" s="8">
        <v>45668</v>
      </c>
      <c r="J90" s="6" t="s">
        <v>27</v>
      </c>
    </row>
    <row r="91" spans="1:10" x14ac:dyDescent="0.25">
      <c r="A91" s="6" t="s">
        <v>124</v>
      </c>
      <c r="B91" s="6" t="s">
        <v>32</v>
      </c>
      <c r="C91" s="6" t="s">
        <v>16</v>
      </c>
      <c r="D91" s="5">
        <v>62</v>
      </c>
      <c r="E91" s="7">
        <f t="shared" si="0"/>
        <v>88996.852500000008</v>
      </c>
      <c r="F91" s="7">
        <v>118662.47</v>
      </c>
      <c r="G91" s="7">
        <v>7357073.1399999997</v>
      </c>
      <c r="H91" s="7">
        <f t="shared" si="1"/>
        <v>1839268.2849999997</v>
      </c>
      <c r="I91" s="8">
        <v>45293</v>
      </c>
      <c r="J91" s="5" t="s">
        <v>10</v>
      </c>
    </row>
    <row r="92" spans="1:10" x14ac:dyDescent="0.25">
      <c r="A92" s="6" t="s">
        <v>125</v>
      </c>
      <c r="B92" s="6" t="s">
        <v>43</v>
      </c>
      <c r="C92" s="6" t="s">
        <v>12</v>
      </c>
      <c r="D92" s="5">
        <v>47</v>
      </c>
      <c r="E92" s="7">
        <f t="shared" si="0"/>
        <v>118416.93</v>
      </c>
      <c r="F92" s="7">
        <v>157889.24</v>
      </c>
      <c r="G92" s="7">
        <v>7420794.2799999993</v>
      </c>
      <c r="H92" s="7">
        <f t="shared" si="1"/>
        <v>1855198.5699999998</v>
      </c>
      <c r="I92" s="8">
        <v>45386</v>
      </c>
      <c r="J92" s="5" t="s">
        <v>10</v>
      </c>
    </row>
    <row r="93" spans="1:10" x14ac:dyDescent="0.25">
      <c r="A93" s="5" t="s">
        <v>10</v>
      </c>
      <c r="B93" s="6" t="s">
        <v>34</v>
      </c>
      <c r="C93" s="6" t="s">
        <v>39</v>
      </c>
      <c r="D93" s="5">
        <v>47</v>
      </c>
      <c r="E93" s="7">
        <f t="shared" si="0"/>
        <v>77900.88</v>
      </c>
      <c r="F93" s="7">
        <v>103867.84</v>
      </c>
      <c r="G93" s="7">
        <v>4881788.4799999995</v>
      </c>
      <c r="H93" s="7">
        <f t="shared" si="1"/>
        <v>1220447.1199999996</v>
      </c>
      <c r="I93" s="8">
        <v>45848</v>
      </c>
      <c r="J93" s="6" t="s">
        <v>40</v>
      </c>
    </row>
    <row r="94" spans="1:10" x14ac:dyDescent="0.25">
      <c r="A94" s="6" t="s">
        <v>126</v>
      </c>
      <c r="B94" s="6" t="s">
        <v>65</v>
      </c>
      <c r="C94" s="6" t="s">
        <v>26</v>
      </c>
      <c r="D94" s="5">
        <v>47</v>
      </c>
      <c r="E94" s="7">
        <f t="shared" si="0"/>
        <v>174024.57749999998</v>
      </c>
      <c r="F94" s="7">
        <v>232032.77</v>
      </c>
      <c r="G94" s="7">
        <v>10905540.189999999</v>
      </c>
      <c r="H94" s="7">
        <f t="shared" si="1"/>
        <v>2726385.0475000003</v>
      </c>
      <c r="I94" s="8">
        <v>45521</v>
      </c>
      <c r="J94" s="6" t="s">
        <v>27</v>
      </c>
    </row>
    <row r="95" spans="1:10" x14ac:dyDescent="0.25">
      <c r="A95" s="6" t="s">
        <v>127</v>
      </c>
      <c r="B95" s="6" t="s">
        <v>43</v>
      </c>
      <c r="C95" s="6" t="s">
        <v>12</v>
      </c>
      <c r="D95" s="5">
        <v>74</v>
      </c>
      <c r="E95" s="7">
        <f t="shared" si="0"/>
        <v>33277.199999999997</v>
      </c>
      <c r="F95" s="7">
        <v>44369.599999999999</v>
      </c>
      <c r="G95" s="7">
        <v>3283350.4</v>
      </c>
      <c r="H95" s="7">
        <f t="shared" si="1"/>
        <v>820837.60000000009</v>
      </c>
      <c r="I95" s="8">
        <v>45813</v>
      </c>
      <c r="J95" s="6" t="s">
        <v>13</v>
      </c>
    </row>
    <row r="96" spans="1:10" x14ac:dyDescent="0.25">
      <c r="A96" s="6" t="s">
        <v>128</v>
      </c>
      <c r="B96" s="6" t="s">
        <v>129</v>
      </c>
      <c r="C96" s="6" t="s">
        <v>23</v>
      </c>
      <c r="D96" s="5">
        <v>47</v>
      </c>
      <c r="E96" s="7">
        <f t="shared" si="0"/>
        <v>9824.182499999999</v>
      </c>
      <c r="F96" s="7">
        <v>13098.91</v>
      </c>
      <c r="G96" s="7">
        <v>615648.77</v>
      </c>
      <c r="H96" s="7">
        <f t="shared" si="1"/>
        <v>153912.19250000003</v>
      </c>
      <c r="I96" s="8">
        <v>45338</v>
      </c>
      <c r="J96" s="6" t="s">
        <v>40</v>
      </c>
    </row>
    <row r="97" spans="1:10" x14ac:dyDescent="0.25">
      <c r="A97" s="6" t="s">
        <v>130</v>
      </c>
      <c r="B97" s="6" t="s">
        <v>74</v>
      </c>
      <c r="C97" s="6" t="s">
        <v>45</v>
      </c>
      <c r="D97" s="5">
        <v>47</v>
      </c>
      <c r="E97" s="7">
        <f t="shared" si="0"/>
        <v>214962.34500000003</v>
      </c>
      <c r="F97" s="7">
        <v>286616.46000000002</v>
      </c>
      <c r="G97" s="7">
        <v>13470973.620000001</v>
      </c>
      <c r="H97" s="7">
        <f t="shared" si="1"/>
        <v>3367743.4049999993</v>
      </c>
      <c r="I97" s="8">
        <v>45775</v>
      </c>
      <c r="J97" s="6" t="s">
        <v>17</v>
      </c>
    </row>
    <row r="98" spans="1:10" x14ac:dyDescent="0.25">
      <c r="A98" s="6" t="s">
        <v>131</v>
      </c>
      <c r="B98" s="6" t="s">
        <v>58</v>
      </c>
      <c r="C98" s="6" t="s">
        <v>16</v>
      </c>
      <c r="D98" s="5">
        <v>47</v>
      </c>
      <c r="E98" s="7">
        <f t="shared" si="0"/>
        <v>18126.989999999998</v>
      </c>
      <c r="F98" s="7">
        <v>24169.32</v>
      </c>
      <c r="G98" s="7">
        <v>1135958.04</v>
      </c>
      <c r="H98" s="7">
        <f t="shared" si="1"/>
        <v>283989.51000000007</v>
      </c>
      <c r="I98" s="8">
        <v>45179</v>
      </c>
      <c r="J98" s="6" t="s">
        <v>13</v>
      </c>
    </row>
    <row r="99" spans="1:10" x14ac:dyDescent="0.25">
      <c r="A99" s="6" t="s">
        <v>132</v>
      </c>
      <c r="B99" s="6" t="s">
        <v>25</v>
      </c>
      <c r="C99" s="6" t="s">
        <v>39</v>
      </c>
      <c r="D99" s="5">
        <v>47</v>
      </c>
      <c r="E99" s="7">
        <f t="shared" si="0"/>
        <v>207930.66</v>
      </c>
      <c r="F99" s="7">
        <v>277240.88</v>
      </c>
      <c r="G99" s="7">
        <v>13030321.359999999</v>
      </c>
      <c r="H99" s="7">
        <f t="shared" si="1"/>
        <v>3257580.34</v>
      </c>
      <c r="I99" s="8">
        <v>45312</v>
      </c>
      <c r="J99" s="6" t="s">
        <v>27</v>
      </c>
    </row>
    <row r="100" spans="1:10" x14ac:dyDescent="0.25">
      <c r="A100" s="6" t="s">
        <v>133</v>
      </c>
      <c r="B100" s="6" t="s">
        <v>19</v>
      </c>
      <c r="C100" s="6" t="s">
        <v>16</v>
      </c>
      <c r="D100" s="5">
        <v>47</v>
      </c>
      <c r="E100" s="7">
        <f t="shared" si="0"/>
        <v>147722.7225</v>
      </c>
      <c r="F100" s="7">
        <v>196963.63</v>
      </c>
      <c r="G100" s="7">
        <v>9257290.6099999994</v>
      </c>
      <c r="H100" s="7">
        <f t="shared" si="1"/>
        <v>2314322.6524999999</v>
      </c>
      <c r="I100" s="8">
        <v>45270</v>
      </c>
      <c r="J100" s="6" t="s">
        <v>17</v>
      </c>
    </row>
    <row r="101" spans="1:10" x14ac:dyDescent="0.25">
      <c r="A101" s="6" t="s">
        <v>134</v>
      </c>
      <c r="B101" s="6" t="s">
        <v>25</v>
      </c>
      <c r="C101" s="6" t="s">
        <v>23</v>
      </c>
      <c r="D101" s="5">
        <v>47</v>
      </c>
      <c r="E101" s="7">
        <f t="shared" si="0"/>
        <v>168245.91</v>
      </c>
      <c r="F101" s="7">
        <v>224327.88</v>
      </c>
      <c r="G101" s="7">
        <v>10543410.359999999</v>
      </c>
      <c r="H101" s="7">
        <f t="shared" si="1"/>
        <v>2635852.59</v>
      </c>
      <c r="I101" s="8">
        <v>45611</v>
      </c>
      <c r="J101" s="5" t="s">
        <v>10</v>
      </c>
    </row>
    <row r="102" spans="1:10" x14ac:dyDescent="0.25">
      <c r="A102" s="6" t="s">
        <v>135</v>
      </c>
      <c r="B102" s="6" t="s">
        <v>21</v>
      </c>
      <c r="C102" s="6" t="s">
        <v>39</v>
      </c>
      <c r="D102" s="5">
        <v>35</v>
      </c>
      <c r="E102" s="7">
        <f t="shared" si="0"/>
        <v>118416.93</v>
      </c>
      <c r="F102" s="7">
        <v>157889.24</v>
      </c>
      <c r="G102" s="7">
        <v>5526123.3999999994</v>
      </c>
      <c r="H102" s="7">
        <f t="shared" si="1"/>
        <v>1381530.8499999999</v>
      </c>
      <c r="I102" s="8">
        <v>45545</v>
      </c>
      <c r="J102" s="6" t="s">
        <v>27</v>
      </c>
    </row>
    <row r="103" spans="1:10" x14ac:dyDescent="0.25">
      <c r="A103" s="6" t="s">
        <v>136</v>
      </c>
      <c r="B103" s="6" t="s">
        <v>30</v>
      </c>
      <c r="C103" s="6" t="s">
        <v>66</v>
      </c>
      <c r="D103" s="5">
        <v>47</v>
      </c>
      <c r="E103" s="7">
        <f t="shared" si="0"/>
        <v>48441.787500000006</v>
      </c>
      <c r="F103" s="7">
        <v>64589.05</v>
      </c>
      <c r="G103" s="7">
        <v>3035685.35</v>
      </c>
      <c r="H103" s="7">
        <f t="shared" si="1"/>
        <v>758921.33749999991</v>
      </c>
      <c r="I103" s="8">
        <v>45331</v>
      </c>
      <c r="J103" s="6" t="s">
        <v>17</v>
      </c>
    </row>
    <row r="104" spans="1:10" x14ac:dyDescent="0.25">
      <c r="A104" s="6" t="s">
        <v>137</v>
      </c>
      <c r="B104" s="6" t="s">
        <v>30</v>
      </c>
      <c r="C104" s="6" t="s">
        <v>23</v>
      </c>
      <c r="D104" s="5">
        <v>47</v>
      </c>
      <c r="E104" s="7">
        <f t="shared" si="0"/>
        <v>186353.655</v>
      </c>
      <c r="F104" s="7">
        <v>248471.54</v>
      </c>
      <c r="G104" s="7">
        <v>11678162.380000001</v>
      </c>
      <c r="H104" s="7">
        <f t="shared" si="1"/>
        <v>2919540.5950000007</v>
      </c>
      <c r="I104" s="8">
        <v>45215</v>
      </c>
      <c r="J104" s="6" t="s">
        <v>27</v>
      </c>
    </row>
    <row r="105" spans="1:10" x14ac:dyDescent="0.25">
      <c r="A105" s="6" t="s">
        <v>138</v>
      </c>
      <c r="B105" s="6" t="s">
        <v>19</v>
      </c>
      <c r="C105" s="6" t="s">
        <v>54</v>
      </c>
      <c r="D105" s="5">
        <v>47</v>
      </c>
      <c r="E105" s="7">
        <f t="shared" si="0"/>
        <v>61278.1875</v>
      </c>
      <c r="F105" s="7">
        <v>81704.25</v>
      </c>
      <c r="G105" s="7">
        <v>3840099.75</v>
      </c>
      <c r="H105" s="7">
        <f t="shared" si="1"/>
        <v>960024.9375</v>
      </c>
      <c r="I105" s="8">
        <v>45603</v>
      </c>
      <c r="J105" s="6" t="s">
        <v>17</v>
      </c>
    </row>
    <row r="106" spans="1:10" x14ac:dyDescent="0.25">
      <c r="A106" s="5" t="s">
        <v>10</v>
      </c>
      <c r="B106" s="6" t="s">
        <v>34</v>
      </c>
      <c r="C106" s="6" t="s">
        <v>54</v>
      </c>
      <c r="D106" s="5">
        <v>1</v>
      </c>
      <c r="E106" s="7">
        <f t="shared" si="0"/>
        <v>126618.29999999999</v>
      </c>
      <c r="F106" s="7">
        <v>168824.4</v>
      </c>
      <c r="G106" s="7">
        <v>168824.4</v>
      </c>
      <c r="H106" s="7">
        <f t="shared" si="1"/>
        <v>42206.100000000006</v>
      </c>
      <c r="I106" s="8">
        <v>45353</v>
      </c>
      <c r="J106" s="6" t="s">
        <v>27</v>
      </c>
    </row>
    <row r="107" spans="1:10" x14ac:dyDescent="0.25">
      <c r="A107" s="6" t="s">
        <v>139</v>
      </c>
      <c r="B107" s="6" t="s">
        <v>36</v>
      </c>
      <c r="C107" s="6" t="s">
        <v>26</v>
      </c>
      <c r="D107" s="5">
        <v>47</v>
      </c>
      <c r="E107" s="7">
        <f t="shared" si="0"/>
        <v>61387.972500000003</v>
      </c>
      <c r="F107" s="7">
        <v>81850.63</v>
      </c>
      <c r="G107" s="7">
        <v>3846979.6100000003</v>
      </c>
      <c r="H107" s="7">
        <f t="shared" si="1"/>
        <v>961744.90250000008</v>
      </c>
      <c r="I107" s="8">
        <v>45595</v>
      </c>
      <c r="J107" s="5" t="s">
        <v>10</v>
      </c>
    </row>
    <row r="108" spans="1:10" x14ac:dyDescent="0.25">
      <c r="A108" s="6" t="s">
        <v>140</v>
      </c>
      <c r="B108" s="6" t="s">
        <v>34</v>
      </c>
      <c r="C108" s="6" t="s">
        <v>39</v>
      </c>
      <c r="D108" s="5">
        <v>47</v>
      </c>
      <c r="E108" s="7">
        <f t="shared" si="0"/>
        <v>24910.02</v>
      </c>
      <c r="F108" s="7">
        <v>33213.360000000001</v>
      </c>
      <c r="G108" s="7">
        <v>1561027.92</v>
      </c>
      <c r="H108" s="7">
        <f t="shared" si="1"/>
        <v>390256.98</v>
      </c>
      <c r="I108" s="8">
        <v>45532</v>
      </c>
      <c r="J108" s="6" t="s">
        <v>40</v>
      </c>
    </row>
    <row r="109" spans="1:10" x14ac:dyDescent="0.25">
      <c r="A109" s="6" t="s">
        <v>141</v>
      </c>
      <c r="B109" s="6" t="s">
        <v>74</v>
      </c>
      <c r="C109" s="6" t="s">
        <v>26</v>
      </c>
      <c r="D109" s="5">
        <v>9</v>
      </c>
      <c r="E109" s="7">
        <f t="shared" si="0"/>
        <v>166797.63750000001</v>
      </c>
      <c r="F109" s="7">
        <v>222396.85</v>
      </c>
      <c r="G109" s="7">
        <v>2001571.65</v>
      </c>
      <c r="H109" s="7">
        <f t="shared" si="1"/>
        <v>500392.91249999998</v>
      </c>
      <c r="I109" s="8">
        <v>45190</v>
      </c>
      <c r="J109" s="6" t="s">
        <v>17</v>
      </c>
    </row>
    <row r="110" spans="1:10" x14ac:dyDescent="0.25">
      <c r="A110" s="6" t="s">
        <v>142</v>
      </c>
      <c r="B110" s="6" t="s">
        <v>76</v>
      </c>
      <c r="C110" s="6" t="s">
        <v>39</v>
      </c>
      <c r="D110" s="5">
        <v>47</v>
      </c>
      <c r="E110" s="7">
        <f t="shared" si="0"/>
        <v>54123.735000000001</v>
      </c>
      <c r="F110" s="7">
        <v>72164.98</v>
      </c>
      <c r="G110" s="7">
        <v>3391754.0599999996</v>
      </c>
      <c r="H110" s="7">
        <f t="shared" si="1"/>
        <v>847938.51499999978</v>
      </c>
      <c r="I110" s="8">
        <v>45508</v>
      </c>
      <c r="J110" s="6" t="s">
        <v>17</v>
      </c>
    </row>
    <row r="111" spans="1:10" x14ac:dyDescent="0.25">
      <c r="A111" s="6" t="s">
        <v>143</v>
      </c>
      <c r="B111" s="6" t="s">
        <v>21</v>
      </c>
      <c r="C111" s="6" t="s">
        <v>23</v>
      </c>
      <c r="D111" s="5">
        <v>4</v>
      </c>
      <c r="E111" s="7">
        <f t="shared" si="0"/>
        <v>11778.1875</v>
      </c>
      <c r="F111" s="7">
        <v>15704.25</v>
      </c>
      <c r="G111" s="7">
        <v>62817</v>
      </c>
      <c r="H111" s="7">
        <f t="shared" si="1"/>
        <v>15704.25</v>
      </c>
      <c r="I111" s="8">
        <v>45615</v>
      </c>
      <c r="J111" s="5" t="s">
        <v>10</v>
      </c>
    </row>
    <row r="112" spans="1:10" x14ac:dyDescent="0.25">
      <c r="A112" s="6" t="s">
        <v>144</v>
      </c>
      <c r="B112" s="6" t="s">
        <v>25</v>
      </c>
      <c r="C112" s="6" t="s">
        <v>39</v>
      </c>
      <c r="D112" s="5">
        <v>47</v>
      </c>
      <c r="E112" s="7">
        <f t="shared" si="0"/>
        <v>118416.93</v>
      </c>
      <c r="F112" s="7">
        <v>157889.24</v>
      </c>
      <c r="G112" s="7">
        <v>7420794.2799999993</v>
      </c>
      <c r="H112" s="7">
        <f t="shared" si="1"/>
        <v>1855198.5699999998</v>
      </c>
      <c r="I112" s="8">
        <v>45248</v>
      </c>
      <c r="J112" s="6" t="s">
        <v>40</v>
      </c>
    </row>
    <row r="113" spans="1:10" x14ac:dyDescent="0.25">
      <c r="A113" s="6" t="s">
        <v>145</v>
      </c>
      <c r="B113" s="6" t="s">
        <v>47</v>
      </c>
      <c r="C113" s="6" t="s">
        <v>66</v>
      </c>
      <c r="D113" s="5">
        <v>47</v>
      </c>
      <c r="E113" s="7">
        <f t="shared" si="0"/>
        <v>203702.0025</v>
      </c>
      <c r="F113" s="7">
        <v>271602.67</v>
      </c>
      <c r="G113" s="7">
        <v>12765325.489999998</v>
      </c>
      <c r="H113" s="7">
        <f t="shared" si="1"/>
        <v>3191331.3724999991</v>
      </c>
      <c r="I113" s="8">
        <v>45577</v>
      </c>
      <c r="J113" s="6" t="s">
        <v>27</v>
      </c>
    </row>
    <row r="114" spans="1:10" x14ac:dyDescent="0.25">
      <c r="A114" s="6" t="s">
        <v>146</v>
      </c>
      <c r="B114" s="6" t="s">
        <v>129</v>
      </c>
      <c r="C114" s="6" t="s">
        <v>45</v>
      </c>
      <c r="D114" s="5">
        <v>47</v>
      </c>
      <c r="E114" s="7">
        <f t="shared" si="0"/>
        <v>51066.495000000003</v>
      </c>
      <c r="F114" s="7">
        <v>68088.66</v>
      </c>
      <c r="G114" s="7">
        <v>3200167.02</v>
      </c>
      <c r="H114" s="7">
        <f t="shared" si="1"/>
        <v>800041.755</v>
      </c>
      <c r="I114" s="8">
        <v>45569</v>
      </c>
      <c r="J114" s="6" t="s">
        <v>17</v>
      </c>
    </row>
    <row r="115" spans="1:10" x14ac:dyDescent="0.25">
      <c r="A115" s="6" t="s">
        <v>147</v>
      </c>
      <c r="B115" s="6" t="s">
        <v>32</v>
      </c>
      <c r="C115" s="6" t="s">
        <v>54</v>
      </c>
      <c r="D115" s="5">
        <v>44</v>
      </c>
      <c r="E115" s="7">
        <f t="shared" si="0"/>
        <v>52675.912500000006</v>
      </c>
      <c r="F115" s="7">
        <v>70234.55</v>
      </c>
      <c r="G115" s="7">
        <v>3090320.2</v>
      </c>
      <c r="H115" s="7">
        <f t="shared" si="1"/>
        <v>772580.04999999981</v>
      </c>
      <c r="I115" s="8">
        <v>45237</v>
      </c>
      <c r="J115" s="6" t="s">
        <v>40</v>
      </c>
    </row>
    <row r="116" spans="1:10" x14ac:dyDescent="0.25">
      <c r="A116" s="6" t="s">
        <v>148</v>
      </c>
      <c r="B116" s="6" t="s">
        <v>38</v>
      </c>
      <c r="C116" s="6" t="s">
        <v>45</v>
      </c>
      <c r="D116" s="5">
        <v>47</v>
      </c>
      <c r="E116" s="7">
        <f t="shared" si="0"/>
        <v>22881.967499999999</v>
      </c>
      <c r="F116" s="7">
        <v>30509.29</v>
      </c>
      <c r="G116" s="7">
        <v>1433936.6300000001</v>
      </c>
      <c r="H116" s="7">
        <f t="shared" si="1"/>
        <v>358484.15750000009</v>
      </c>
      <c r="I116" s="8">
        <v>45250</v>
      </c>
      <c r="J116" s="6" t="s">
        <v>27</v>
      </c>
    </row>
    <row r="117" spans="1:10" x14ac:dyDescent="0.25">
      <c r="A117" s="6" t="s">
        <v>149</v>
      </c>
      <c r="B117" s="6" t="s">
        <v>11</v>
      </c>
      <c r="C117" s="6" t="s">
        <v>39</v>
      </c>
      <c r="D117" s="5">
        <v>47</v>
      </c>
      <c r="E117" s="7">
        <f t="shared" si="0"/>
        <v>74567.205000000002</v>
      </c>
      <c r="F117" s="7">
        <v>99422.94</v>
      </c>
      <c r="G117" s="7">
        <v>4672878.18</v>
      </c>
      <c r="H117" s="7">
        <f t="shared" si="1"/>
        <v>1168219.5449999999</v>
      </c>
      <c r="I117" s="8">
        <v>45629</v>
      </c>
      <c r="J117" s="6" t="s">
        <v>17</v>
      </c>
    </row>
    <row r="118" spans="1:10" x14ac:dyDescent="0.25">
      <c r="A118" s="6" t="s">
        <v>150</v>
      </c>
      <c r="B118" s="6" t="s">
        <v>25</v>
      </c>
      <c r="C118" s="6" t="s">
        <v>45</v>
      </c>
      <c r="D118" s="5">
        <v>47</v>
      </c>
      <c r="E118" s="7">
        <f t="shared" si="0"/>
        <v>106488.72750000001</v>
      </c>
      <c r="F118" s="7">
        <v>141984.97</v>
      </c>
      <c r="G118" s="7">
        <v>6673293.5899999999</v>
      </c>
      <c r="H118" s="7">
        <f t="shared" si="1"/>
        <v>1668323.3974999997</v>
      </c>
      <c r="I118" s="8">
        <v>45603</v>
      </c>
      <c r="J118" s="6" t="s">
        <v>17</v>
      </c>
    </row>
    <row r="119" spans="1:10" x14ac:dyDescent="0.25">
      <c r="A119" s="5" t="s">
        <v>10</v>
      </c>
      <c r="B119" s="6" t="s">
        <v>62</v>
      </c>
      <c r="C119" s="6" t="s">
        <v>66</v>
      </c>
      <c r="D119" s="5">
        <v>77</v>
      </c>
      <c r="E119" s="7">
        <f t="shared" si="0"/>
        <v>153387.75</v>
      </c>
      <c r="F119" s="7">
        <v>204517</v>
      </c>
      <c r="G119" s="7">
        <v>15747809</v>
      </c>
      <c r="H119" s="7">
        <f t="shared" si="1"/>
        <v>3936952.25</v>
      </c>
      <c r="I119" s="8">
        <v>45677</v>
      </c>
      <c r="J119" s="6" t="s">
        <v>27</v>
      </c>
    </row>
    <row r="120" spans="1:10" x14ac:dyDescent="0.25">
      <c r="A120" s="6" t="s">
        <v>151</v>
      </c>
      <c r="B120" s="6" t="s">
        <v>36</v>
      </c>
      <c r="C120" s="6" t="s">
        <v>54</v>
      </c>
      <c r="D120" s="5">
        <v>7</v>
      </c>
      <c r="E120" s="7">
        <f t="shared" si="0"/>
        <v>31253.534999999996</v>
      </c>
      <c r="F120" s="7">
        <v>41671.379999999997</v>
      </c>
      <c r="G120" s="7">
        <v>291699.65999999997</v>
      </c>
      <c r="H120" s="7">
        <f t="shared" si="1"/>
        <v>72924.915000000008</v>
      </c>
      <c r="I120" s="8">
        <v>45818</v>
      </c>
      <c r="J120" s="5" t="s">
        <v>10</v>
      </c>
    </row>
    <row r="121" spans="1:10" x14ac:dyDescent="0.25">
      <c r="A121" s="6" t="s">
        <v>152</v>
      </c>
      <c r="B121" s="6" t="s">
        <v>49</v>
      </c>
      <c r="C121" s="6" t="s">
        <v>12</v>
      </c>
      <c r="D121" s="5">
        <v>47</v>
      </c>
      <c r="E121" s="7">
        <f t="shared" si="0"/>
        <v>217030.0275</v>
      </c>
      <c r="F121" s="7">
        <v>289373.37</v>
      </c>
      <c r="G121" s="7">
        <v>13600548.390000001</v>
      </c>
      <c r="H121" s="7">
        <f t="shared" si="1"/>
        <v>3400137.0975000001</v>
      </c>
      <c r="I121" s="8">
        <v>45588</v>
      </c>
      <c r="J121" s="6" t="s">
        <v>40</v>
      </c>
    </row>
    <row r="122" spans="1:10" x14ac:dyDescent="0.25">
      <c r="A122" s="6" t="s">
        <v>153</v>
      </c>
      <c r="B122" s="6" t="s">
        <v>32</v>
      </c>
      <c r="C122" s="6" t="s">
        <v>39</v>
      </c>
      <c r="D122" s="5">
        <v>47</v>
      </c>
      <c r="E122" s="7">
        <f t="shared" si="0"/>
        <v>118416.93</v>
      </c>
      <c r="F122" s="7">
        <v>157889.24</v>
      </c>
      <c r="G122" s="7">
        <v>7420794.2799999993</v>
      </c>
      <c r="H122" s="7">
        <f t="shared" si="1"/>
        <v>1855198.5699999998</v>
      </c>
      <c r="I122" s="8">
        <v>45380</v>
      </c>
      <c r="J122" s="6" t="s">
        <v>17</v>
      </c>
    </row>
    <row r="123" spans="1:10" x14ac:dyDescent="0.25">
      <c r="A123" s="6" t="s">
        <v>154</v>
      </c>
      <c r="B123" s="6" t="s">
        <v>74</v>
      </c>
      <c r="C123" s="6" t="s">
        <v>54</v>
      </c>
      <c r="D123" s="5">
        <v>47</v>
      </c>
      <c r="E123" s="7">
        <f t="shared" si="0"/>
        <v>220038.19500000001</v>
      </c>
      <c r="F123" s="7">
        <v>293384.26</v>
      </c>
      <c r="G123" s="7">
        <v>13789060.220000001</v>
      </c>
      <c r="H123" s="7">
        <f t="shared" si="1"/>
        <v>3447265.0550000002</v>
      </c>
      <c r="I123" s="8">
        <v>45772</v>
      </c>
      <c r="J123" s="6" t="s">
        <v>27</v>
      </c>
    </row>
    <row r="124" spans="1:10" x14ac:dyDescent="0.25">
      <c r="A124" s="6" t="s">
        <v>155</v>
      </c>
      <c r="B124" s="6" t="s">
        <v>74</v>
      </c>
      <c r="C124" s="6" t="s">
        <v>45</v>
      </c>
      <c r="D124" s="5">
        <v>47</v>
      </c>
      <c r="E124" s="7">
        <f t="shared" si="0"/>
        <v>35852.512499999997</v>
      </c>
      <c r="F124" s="7">
        <v>47803.35</v>
      </c>
      <c r="G124" s="7">
        <v>2246757.4499999997</v>
      </c>
      <c r="H124" s="7">
        <f t="shared" si="1"/>
        <v>561689.36250000005</v>
      </c>
      <c r="I124" s="8">
        <v>45835</v>
      </c>
      <c r="J124" s="6" t="s">
        <v>17</v>
      </c>
    </row>
    <row r="125" spans="1:10" x14ac:dyDescent="0.25">
      <c r="A125" s="6" t="s">
        <v>156</v>
      </c>
      <c r="B125" s="6" t="s">
        <v>49</v>
      </c>
      <c r="C125" s="6" t="s">
        <v>12</v>
      </c>
      <c r="D125" s="5">
        <v>47</v>
      </c>
      <c r="E125" s="7">
        <f t="shared" si="0"/>
        <v>147031.04250000001</v>
      </c>
      <c r="F125" s="7">
        <v>196041.39</v>
      </c>
      <c r="G125" s="7">
        <v>9213945.3300000001</v>
      </c>
      <c r="H125" s="7">
        <f t="shared" si="1"/>
        <v>2303486.3325</v>
      </c>
      <c r="I125" s="8">
        <v>45555</v>
      </c>
      <c r="J125" s="6" t="s">
        <v>27</v>
      </c>
    </row>
    <row r="126" spans="1:10" x14ac:dyDescent="0.25">
      <c r="A126" s="6" t="s">
        <v>157</v>
      </c>
      <c r="B126" s="6" t="s">
        <v>58</v>
      </c>
      <c r="C126" s="6" t="s">
        <v>16</v>
      </c>
      <c r="D126" s="5">
        <v>47</v>
      </c>
      <c r="E126" s="7">
        <f t="shared" si="0"/>
        <v>198190.4325</v>
      </c>
      <c r="F126" s="7">
        <v>264253.90999999997</v>
      </c>
      <c r="G126" s="7">
        <v>12419933.77</v>
      </c>
      <c r="H126" s="7">
        <f t="shared" si="1"/>
        <v>3104983.442499999</v>
      </c>
      <c r="I126" s="8">
        <v>45149</v>
      </c>
      <c r="J126" s="6" t="s">
        <v>17</v>
      </c>
    </row>
    <row r="127" spans="1:10" x14ac:dyDescent="0.25">
      <c r="A127" s="6" t="s">
        <v>158</v>
      </c>
      <c r="B127" s="6" t="s">
        <v>47</v>
      </c>
      <c r="C127" s="6" t="s">
        <v>54</v>
      </c>
      <c r="D127" s="5">
        <v>47</v>
      </c>
      <c r="E127" s="7">
        <f t="shared" si="0"/>
        <v>107229.03</v>
      </c>
      <c r="F127" s="7">
        <v>142972.04</v>
      </c>
      <c r="G127" s="7">
        <v>6719685.8800000008</v>
      </c>
      <c r="H127" s="7">
        <f t="shared" si="1"/>
        <v>1679921.4700000004</v>
      </c>
      <c r="I127" s="8">
        <v>45758</v>
      </c>
      <c r="J127" s="6" t="s">
        <v>13</v>
      </c>
    </row>
    <row r="128" spans="1:10" x14ac:dyDescent="0.25">
      <c r="A128" s="6" t="s">
        <v>159</v>
      </c>
      <c r="B128" s="6" t="s">
        <v>19</v>
      </c>
      <c r="C128" s="6" t="s">
        <v>16</v>
      </c>
      <c r="D128" s="5">
        <v>47</v>
      </c>
      <c r="E128" s="7">
        <f t="shared" si="0"/>
        <v>146502.255</v>
      </c>
      <c r="F128" s="7">
        <v>195336.34</v>
      </c>
      <c r="G128" s="7">
        <v>9180807.9800000004</v>
      </c>
      <c r="H128" s="7">
        <f t="shared" si="1"/>
        <v>2295201.9949999996</v>
      </c>
      <c r="I128" s="8">
        <v>45788</v>
      </c>
      <c r="J128" s="5" t="s">
        <v>10</v>
      </c>
    </row>
    <row r="129" spans="1:10" x14ac:dyDescent="0.25">
      <c r="A129" s="6" t="s">
        <v>160</v>
      </c>
      <c r="B129" s="6" t="s">
        <v>30</v>
      </c>
      <c r="C129" s="6" t="s">
        <v>23</v>
      </c>
      <c r="D129" s="5">
        <v>47</v>
      </c>
      <c r="E129" s="7">
        <f t="shared" si="0"/>
        <v>170171.51999999999</v>
      </c>
      <c r="F129" s="7">
        <v>226895.35999999999</v>
      </c>
      <c r="G129" s="7">
        <v>10664081.92</v>
      </c>
      <c r="H129" s="7">
        <f t="shared" si="1"/>
        <v>2666020.48</v>
      </c>
      <c r="I129" s="8">
        <v>45140</v>
      </c>
      <c r="J129" s="6" t="s">
        <v>40</v>
      </c>
    </row>
    <row r="130" spans="1:10" x14ac:dyDescent="0.25">
      <c r="A130" s="6" t="s">
        <v>161</v>
      </c>
      <c r="B130" s="6" t="s">
        <v>15</v>
      </c>
      <c r="C130" s="6" t="s">
        <v>12</v>
      </c>
      <c r="D130" s="5">
        <v>56</v>
      </c>
      <c r="E130" s="7">
        <f t="shared" si="0"/>
        <v>64897.417499999996</v>
      </c>
      <c r="F130" s="7">
        <v>86529.89</v>
      </c>
      <c r="G130" s="7">
        <v>4845673.84</v>
      </c>
      <c r="H130" s="7">
        <f t="shared" si="1"/>
        <v>1211418.4600000002</v>
      </c>
      <c r="I130" s="8">
        <v>45181</v>
      </c>
      <c r="J130" s="5" t="s">
        <v>10</v>
      </c>
    </row>
    <row r="131" spans="1:10" x14ac:dyDescent="0.25">
      <c r="A131" s="6" t="s">
        <v>162</v>
      </c>
      <c r="B131" s="6" t="s">
        <v>11</v>
      </c>
      <c r="C131" s="6" t="s">
        <v>12</v>
      </c>
      <c r="D131" s="5">
        <v>47</v>
      </c>
      <c r="E131" s="7">
        <f t="shared" si="0"/>
        <v>64486.417499999996</v>
      </c>
      <c r="F131" s="7">
        <v>85981.89</v>
      </c>
      <c r="G131" s="7">
        <v>4041148.83</v>
      </c>
      <c r="H131" s="7">
        <f t="shared" si="1"/>
        <v>1010287.2075000001</v>
      </c>
      <c r="I131" s="8">
        <v>45153</v>
      </c>
      <c r="J131" s="5" t="s">
        <v>10</v>
      </c>
    </row>
    <row r="132" spans="1:10" x14ac:dyDescent="0.25">
      <c r="A132" s="5" t="s">
        <v>10</v>
      </c>
      <c r="B132" s="6" t="s">
        <v>30</v>
      </c>
      <c r="C132" s="6" t="s">
        <v>54</v>
      </c>
      <c r="D132" s="5">
        <v>47</v>
      </c>
      <c r="E132" s="7">
        <f t="shared" si="0"/>
        <v>118416.93</v>
      </c>
      <c r="F132" s="7">
        <v>157889.24</v>
      </c>
      <c r="G132" s="7">
        <v>7420794.2799999993</v>
      </c>
      <c r="H132" s="7">
        <f t="shared" si="1"/>
        <v>1855198.5699999998</v>
      </c>
      <c r="I132" s="8">
        <v>45616</v>
      </c>
      <c r="J132" s="6" t="s">
        <v>40</v>
      </c>
    </row>
    <row r="133" spans="1:10" x14ac:dyDescent="0.25">
      <c r="A133" s="6" t="s">
        <v>163</v>
      </c>
      <c r="B133" s="6" t="s">
        <v>19</v>
      </c>
      <c r="C133" s="6" t="s">
        <v>23</v>
      </c>
      <c r="D133" s="5">
        <v>47</v>
      </c>
      <c r="E133" s="7">
        <f t="shared" si="0"/>
        <v>13664.392499999998</v>
      </c>
      <c r="F133" s="7">
        <v>18219.189999999999</v>
      </c>
      <c r="G133" s="7">
        <v>856301.92999999993</v>
      </c>
      <c r="H133" s="7">
        <f t="shared" si="1"/>
        <v>214075.48250000004</v>
      </c>
      <c r="I133" s="8">
        <v>45716</v>
      </c>
      <c r="J133" s="5" t="s">
        <v>10</v>
      </c>
    </row>
    <row r="134" spans="1:10" x14ac:dyDescent="0.25">
      <c r="A134" s="6" t="s">
        <v>164</v>
      </c>
      <c r="B134" s="6" t="s">
        <v>65</v>
      </c>
      <c r="C134" s="6" t="s">
        <v>45</v>
      </c>
      <c r="D134" s="5">
        <v>47</v>
      </c>
      <c r="E134" s="7">
        <f t="shared" si="0"/>
        <v>173049.85500000001</v>
      </c>
      <c r="F134" s="7">
        <v>230733.14</v>
      </c>
      <c r="G134" s="7">
        <v>10844457.58</v>
      </c>
      <c r="H134" s="7">
        <f t="shared" si="1"/>
        <v>2711114.395</v>
      </c>
      <c r="I134" s="8">
        <v>45565</v>
      </c>
      <c r="J134" s="6" t="s">
        <v>13</v>
      </c>
    </row>
    <row r="135" spans="1:10" x14ac:dyDescent="0.25">
      <c r="A135" s="6" t="s">
        <v>165</v>
      </c>
      <c r="B135" s="6" t="s">
        <v>11</v>
      </c>
      <c r="C135" s="6" t="s">
        <v>26</v>
      </c>
      <c r="D135" s="5">
        <v>6</v>
      </c>
      <c r="E135" s="7">
        <f t="shared" si="0"/>
        <v>146897.60250000001</v>
      </c>
      <c r="F135" s="7">
        <v>195863.47</v>
      </c>
      <c r="G135" s="7">
        <v>1175180.82</v>
      </c>
      <c r="H135" s="7">
        <f t="shared" si="1"/>
        <v>293795.20499999996</v>
      </c>
      <c r="I135" s="8">
        <v>45323</v>
      </c>
      <c r="J135" s="6" t="s">
        <v>27</v>
      </c>
    </row>
    <row r="136" spans="1:10" x14ac:dyDescent="0.25">
      <c r="A136" s="6" t="s">
        <v>166</v>
      </c>
      <c r="B136" s="6" t="s">
        <v>88</v>
      </c>
      <c r="C136" s="6" t="s">
        <v>39</v>
      </c>
      <c r="D136" s="5">
        <v>47</v>
      </c>
      <c r="E136" s="7">
        <f t="shared" si="0"/>
        <v>52537.462499999994</v>
      </c>
      <c r="F136" s="7">
        <v>70049.95</v>
      </c>
      <c r="G136" s="7">
        <v>3292347.65</v>
      </c>
      <c r="H136" s="7">
        <f t="shared" si="1"/>
        <v>823086.91250000009</v>
      </c>
      <c r="I136" s="8">
        <v>45623</v>
      </c>
      <c r="J136" s="6" t="s">
        <v>40</v>
      </c>
    </row>
    <row r="137" spans="1:10" x14ac:dyDescent="0.25">
      <c r="A137" s="6" t="s">
        <v>167</v>
      </c>
      <c r="B137" s="6" t="s">
        <v>36</v>
      </c>
      <c r="C137" s="6" t="s">
        <v>23</v>
      </c>
      <c r="D137" s="5">
        <v>8</v>
      </c>
      <c r="E137" s="7">
        <f t="shared" si="0"/>
        <v>166302.45749999999</v>
      </c>
      <c r="F137" s="7">
        <v>221736.61</v>
      </c>
      <c r="G137" s="7">
        <v>1773892.88</v>
      </c>
      <c r="H137" s="7">
        <f t="shared" si="1"/>
        <v>443473.22</v>
      </c>
      <c r="I137" s="8">
        <v>45281</v>
      </c>
      <c r="J137" s="6" t="s">
        <v>27</v>
      </c>
    </row>
    <row r="138" spans="1:10" x14ac:dyDescent="0.25">
      <c r="A138" s="6" t="s">
        <v>168</v>
      </c>
      <c r="B138" s="6" t="s">
        <v>62</v>
      </c>
      <c r="C138" s="6" t="s">
        <v>12</v>
      </c>
      <c r="D138" s="5">
        <v>47</v>
      </c>
      <c r="E138" s="7">
        <f t="shared" si="0"/>
        <v>191381.07</v>
      </c>
      <c r="F138" s="7">
        <v>255174.76</v>
      </c>
      <c r="G138" s="7">
        <v>11993213.720000001</v>
      </c>
      <c r="H138" s="7">
        <f t="shared" si="1"/>
        <v>2998303.43</v>
      </c>
      <c r="I138" s="8">
        <v>45713</v>
      </c>
      <c r="J138" s="6" t="s">
        <v>17</v>
      </c>
    </row>
    <row r="139" spans="1:10" x14ac:dyDescent="0.25">
      <c r="A139" s="6" t="s">
        <v>169</v>
      </c>
      <c r="B139" s="6" t="s">
        <v>58</v>
      </c>
      <c r="C139" s="6" t="s">
        <v>26</v>
      </c>
      <c r="D139" s="5">
        <v>28</v>
      </c>
      <c r="E139" s="7">
        <f t="shared" si="0"/>
        <v>8753.1149999999998</v>
      </c>
      <c r="F139" s="7">
        <v>11670.82</v>
      </c>
      <c r="G139" s="7">
        <v>326782.96000000002</v>
      </c>
      <c r="H139" s="7">
        <f t="shared" si="1"/>
        <v>81695.739999999991</v>
      </c>
      <c r="I139" s="8">
        <v>45562</v>
      </c>
      <c r="J139" s="6" t="s">
        <v>13</v>
      </c>
    </row>
    <row r="140" spans="1:10" x14ac:dyDescent="0.25">
      <c r="A140" s="6" t="s">
        <v>170</v>
      </c>
      <c r="B140" s="6" t="s">
        <v>15</v>
      </c>
      <c r="C140" s="6" t="s">
        <v>12</v>
      </c>
      <c r="D140" s="5">
        <v>47</v>
      </c>
      <c r="E140" s="7">
        <f t="shared" si="0"/>
        <v>207360.39750000002</v>
      </c>
      <c r="F140" s="7">
        <v>276480.53000000003</v>
      </c>
      <c r="G140" s="7">
        <v>12994584.910000002</v>
      </c>
      <c r="H140" s="7">
        <f t="shared" si="1"/>
        <v>3248646.2275000005</v>
      </c>
      <c r="I140" s="8">
        <v>45441</v>
      </c>
      <c r="J140" s="6" t="s">
        <v>27</v>
      </c>
    </row>
    <row r="141" spans="1:10" x14ac:dyDescent="0.25">
      <c r="A141" s="6" t="s">
        <v>171</v>
      </c>
      <c r="B141" s="6" t="s">
        <v>19</v>
      </c>
      <c r="C141" s="6" t="s">
        <v>54</v>
      </c>
      <c r="D141" s="5">
        <v>47</v>
      </c>
      <c r="E141" s="7">
        <f t="shared" si="0"/>
        <v>94242.412500000006</v>
      </c>
      <c r="F141" s="7">
        <v>125656.55</v>
      </c>
      <c r="G141" s="7">
        <v>5905857.8500000006</v>
      </c>
      <c r="H141" s="7">
        <f t="shared" si="1"/>
        <v>1476464.4624999999</v>
      </c>
      <c r="I141" s="8">
        <v>45598</v>
      </c>
      <c r="J141" s="6" t="s">
        <v>27</v>
      </c>
    </row>
    <row r="142" spans="1:10" x14ac:dyDescent="0.25">
      <c r="A142" s="6" t="s">
        <v>172</v>
      </c>
      <c r="B142" s="6" t="s">
        <v>47</v>
      </c>
      <c r="C142" s="6" t="s">
        <v>45</v>
      </c>
      <c r="D142" s="5">
        <v>16</v>
      </c>
      <c r="E142" s="7">
        <f t="shared" si="0"/>
        <v>118416.93</v>
      </c>
      <c r="F142" s="7">
        <v>157889.24</v>
      </c>
      <c r="G142" s="7">
        <v>2526227.84</v>
      </c>
      <c r="H142" s="7">
        <f t="shared" si="1"/>
        <v>631556.96</v>
      </c>
      <c r="I142" s="8">
        <v>45614</v>
      </c>
      <c r="J142" s="6" t="s">
        <v>40</v>
      </c>
    </row>
    <row r="143" spans="1:10" x14ac:dyDescent="0.25">
      <c r="A143" s="6" t="s">
        <v>173</v>
      </c>
      <c r="B143" s="6" t="s">
        <v>62</v>
      </c>
      <c r="C143" s="6" t="s">
        <v>66</v>
      </c>
      <c r="D143" s="5">
        <v>47</v>
      </c>
      <c r="E143" s="7">
        <f t="shared" si="0"/>
        <v>188521.995</v>
      </c>
      <c r="F143" s="7">
        <v>251362.66</v>
      </c>
      <c r="G143" s="7">
        <v>11814045.02</v>
      </c>
      <c r="H143" s="7">
        <f t="shared" si="1"/>
        <v>2953511.2550000004</v>
      </c>
      <c r="I143" s="8">
        <v>45141</v>
      </c>
      <c r="J143" s="6" t="s">
        <v>17</v>
      </c>
    </row>
    <row r="144" spans="1:10" x14ac:dyDescent="0.25">
      <c r="A144" s="6" t="s">
        <v>174</v>
      </c>
      <c r="B144" s="6" t="s">
        <v>47</v>
      </c>
      <c r="C144" s="6" t="s">
        <v>12</v>
      </c>
      <c r="D144" s="5">
        <v>56</v>
      </c>
      <c r="E144" s="7">
        <f t="shared" si="0"/>
        <v>210157.36499999999</v>
      </c>
      <c r="F144" s="7">
        <v>280209.82</v>
      </c>
      <c r="G144" s="7">
        <v>15691749.92</v>
      </c>
      <c r="H144" s="7">
        <f t="shared" si="1"/>
        <v>3922937.4800000009</v>
      </c>
      <c r="I144" s="8">
        <v>45504</v>
      </c>
      <c r="J144" s="6" t="s">
        <v>40</v>
      </c>
    </row>
    <row r="145" spans="1:10" x14ac:dyDescent="0.25">
      <c r="A145" s="5" t="s">
        <v>10</v>
      </c>
      <c r="B145" s="6" t="s">
        <v>11</v>
      </c>
      <c r="C145" s="6" t="s">
        <v>45</v>
      </c>
      <c r="D145" s="5">
        <v>47</v>
      </c>
      <c r="E145" s="7">
        <f t="shared" si="0"/>
        <v>8537.8350000000009</v>
      </c>
      <c r="F145" s="7">
        <v>11383.78</v>
      </c>
      <c r="G145" s="7">
        <v>535037.66</v>
      </c>
      <c r="H145" s="7">
        <f t="shared" si="1"/>
        <v>133759.41499999998</v>
      </c>
      <c r="I145" s="8">
        <v>45808</v>
      </c>
      <c r="J145" s="6" t="s">
        <v>17</v>
      </c>
    </row>
    <row r="146" spans="1:10" x14ac:dyDescent="0.25">
      <c r="A146" s="6" t="s">
        <v>175</v>
      </c>
      <c r="B146" s="6" t="s">
        <v>88</v>
      </c>
      <c r="C146" s="6" t="s">
        <v>16</v>
      </c>
      <c r="D146" s="5">
        <v>47</v>
      </c>
      <c r="E146" s="7">
        <f t="shared" si="0"/>
        <v>188207.14499999999</v>
      </c>
      <c r="F146" s="7">
        <v>250942.86</v>
      </c>
      <c r="G146" s="7">
        <v>11794314.42</v>
      </c>
      <c r="H146" s="7">
        <f t="shared" si="1"/>
        <v>2948578.605</v>
      </c>
      <c r="I146" s="8">
        <v>45605</v>
      </c>
      <c r="J146" s="6" t="s">
        <v>40</v>
      </c>
    </row>
    <row r="147" spans="1:10" x14ac:dyDescent="0.25">
      <c r="A147" s="6" t="s">
        <v>176</v>
      </c>
      <c r="B147" s="6" t="s">
        <v>47</v>
      </c>
      <c r="C147" s="6" t="s">
        <v>12</v>
      </c>
      <c r="D147" s="5">
        <v>47</v>
      </c>
      <c r="E147" s="7">
        <f t="shared" si="0"/>
        <v>177370.6575</v>
      </c>
      <c r="F147" s="7">
        <v>236494.21</v>
      </c>
      <c r="G147" s="7">
        <v>11115227.869999999</v>
      </c>
      <c r="H147" s="7">
        <f t="shared" si="1"/>
        <v>2778806.9674999993</v>
      </c>
      <c r="I147" s="8">
        <v>45541</v>
      </c>
      <c r="J147" s="6" t="s">
        <v>27</v>
      </c>
    </row>
    <row r="148" spans="1:10" x14ac:dyDescent="0.25">
      <c r="A148" s="6" t="s">
        <v>177</v>
      </c>
      <c r="B148" s="6" t="s">
        <v>49</v>
      </c>
      <c r="C148" s="6" t="s">
        <v>26</v>
      </c>
      <c r="D148" s="5">
        <v>47</v>
      </c>
      <c r="E148" s="7">
        <f t="shared" si="0"/>
        <v>42225.247499999998</v>
      </c>
      <c r="F148" s="7">
        <v>56300.33</v>
      </c>
      <c r="G148" s="7">
        <v>2646115.5100000002</v>
      </c>
      <c r="H148" s="7">
        <f t="shared" si="1"/>
        <v>661528.87750000018</v>
      </c>
      <c r="I148" s="8">
        <v>45342</v>
      </c>
      <c r="J148" s="6" t="s">
        <v>27</v>
      </c>
    </row>
    <row r="149" spans="1:10" x14ac:dyDescent="0.25">
      <c r="A149" s="6" t="s">
        <v>178</v>
      </c>
      <c r="B149" s="6" t="s">
        <v>43</v>
      </c>
      <c r="C149" s="6" t="s">
        <v>45</v>
      </c>
      <c r="D149" s="5">
        <v>46</v>
      </c>
      <c r="E149" s="7">
        <f t="shared" si="0"/>
        <v>168619.845</v>
      </c>
      <c r="F149" s="7">
        <v>224826.46</v>
      </c>
      <c r="G149" s="7">
        <v>10342017.16</v>
      </c>
      <c r="H149" s="7">
        <f t="shared" si="1"/>
        <v>2585504.2899999996</v>
      </c>
      <c r="I149" s="8">
        <v>45616</v>
      </c>
      <c r="J149" s="6" t="s">
        <v>13</v>
      </c>
    </row>
    <row r="150" spans="1:10" x14ac:dyDescent="0.25">
      <c r="A150" s="6" t="s">
        <v>179</v>
      </c>
      <c r="B150" s="6" t="s">
        <v>25</v>
      </c>
      <c r="C150" s="6" t="s">
        <v>23</v>
      </c>
      <c r="D150" s="5">
        <v>47</v>
      </c>
      <c r="E150" s="7">
        <f t="shared" si="0"/>
        <v>196313.29499999998</v>
      </c>
      <c r="F150" s="7">
        <v>261751.06</v>
      </c>
      <c r="G150" s="7">
        <v>12302299.82</v>
      </c>
      <c r="H150" s="7">
        <f t="shared" si="1"/>
        <v>3075574.9550000005</v>
      </c>
      <c r="I150" s="8">
        <v>45352</v>
      </c>
      <c r="J150" s="6" t="s">
        <v>27</v>
      </c>
    </row>
    <row r="151" spans="1:10" x14ac:dyDescent="0.25">
      <c r="A151" s="6" t="s">
        <v>180</v>
      </c>
      <c r="B151" s="6" t="s">
        <v>76</v>
      </c>
      <c r="C151" s="6" t="s">
        <v>45</v>
      </c>
      <c r="D151" s="5">
        <v>47</v>
      </c>
      <c r="E151" s="7">
        <f t="shared" si="0"/>
        <v>65396.520000000004</v>
      </c>
      <c r="F151" s="7">
        <v>87195.36</v>
      </c>
      <c r="G151" s="7">
        <v>4098181.92</v>
      </c>
      <c r="H151" s="7">
        <f t="shared" si="1"/>
        <v>1024545.4799999999</v>
      </c>
      <c r="I151" s="8">
        <v>45493</v>
      </c>
      <c r="J151" s="5" t="s">
        <v>10</v>
      </c>
    </row>
    <row r="152" spans="1:10" x14ac:dyDescent="0.25">
      <c r="A152" s="6" t="s">
        <v>181</v>
      </c>
      <c r="B152" s="6" t="s">
        <v>62</v>
      </c>
      <c r="C152" s="6" t="s">
        <v>23</v>
      </c>
      <c r="D152" s="5">
        <v>47</v>
      </c>
      <c r="E152" s="7">
        <f t="shared" si="0"/>
        <v>118416.93</v>
      </c>
      <c r="F152" s="7">
        <v>157889.24</v>
      </c>
      <c r="G152" s="7">
        <v>7420794.2799999993</v>
      </c>
      <c r="H152" s="7">
        <f t="shared" si="1"/>
        <v>1855198.5699999998</v>
      </c>
      <c r="I152" s="8">
        <v>45308</v>
      </c>
      <c r="J152" s="6" t="s">
        <v>27</v>
      </c>
    </row>
    <row r="153" spans="1:10" x14ac:dyDescent="0.25">
      <c r="A153" s="6" t="s">
        <v>182</v>
      </c>
      <c r="B153" s="6" t="s">
        <v>30</v>
      </c>
      <c r="C153" s="6" t="s">
        <v>23</v>
      </c>
      <c r="D153" s="5">
        <v>47</v>
      </c>
      <c r="E153" s="7">
        <f t="shared" si="0"/>
        <v>8790.84</v>
      </c>
      <c r="F153" s="7">
        <v>11721.12</v>
      </c>
      <c r="G153" s="7">
        <v>550892.64</v>
      </c>
      <c r="H153" s="7">
        <f t="shared" si="1"/>
        <v>137723.16000000003</v>
      </c>
      <c r="I153" s="8">
        <v>45743</v>
      </c>
      <c r="J153" s="5" t="s">
        <v>10</v>
      </c>
    </row>
    <row r="154" spans="1:10" x14ac:dyDescent="0.25">
      <c r="A154" s="6" t="s">
        <v>183</v>
      </c>
      <c r="B154" s="6" t="s">
        <v>47</v>
      </c>
      <c r="C154" s="6" t="s">
        <v>66</v>
      </c>
      <c r="D154" s="5">
        <v>47</v>
      </c>
      <c r="E154" s="7">
        <f t="shared" si="0"/>
        <v>67401.352500000008</v>
      </c>
      <c r="F154" s="7">
        <v>89868.47</v>
      </c>
      <c r="G154" s="7">
        <v>4223818.09</v>
      </c>
      <c r="H154" s="7">
        <f t="shared" si="1"/>
        <v>1055954.5224999997</v>
      </c>
      <c r="I154" s="8">
        <v>45745</v>
      </c>
      <c r="J154" s="6" t="s">
        <v>27</v>
      </c>
    </row>
    <row r="155" spans="1:10" x14ac:dyDescent="0.25">
      <c r="A155" s="6" t="s">
        <v>184</v>
      </c>
      <c r="B155" s="6" t="s">
        <v>15</v>
      </c>
      <c r="C155" s="6" t="s">
        <v>26</v>
      </c>
      <c r="D155" s="5">
        <v>47</v>
      </c>
      <c r="E155" s="7">
        <f t="shared" si="0"/>
        <v>135775.125</v>
      </c>
      <c r="F155" s="7">
        <v>181033.5</v>
      </c>
      <c r="G155" s="7">
        <v>8508574.5</v>
      </c>
      <c r="H155" s="7">
        <f t="shared" si="1"/>
        <v>2127143.625</v>
      </c>
      <c r="I155" s="8">
        <v>45650</v>
      </c>
      <c r="J155" s="5" t="s">
        <v>10</v>
      </c>
    </row>
    <row r="156" spans="1:10" x14ac:dyDescent="0.25">
      <c r="A156" s="6" t="s">
        <v>185</v>
      </c>
      <c r="B156" s="6" t="s">
        <v>49</v>
      </c>
      <c r="C156" s="6" t="s">
        <v>39</v>
      </c>
      <c r="D156" s="5">
        <v>47</v>
      </c>
      <c r="E156" s="7">
        <f t="shared" si="0"/>
        <v>208929.17249999999</v>
      </c>
      <c r="F156" s="7">
        <v>278572.23</v>
      </c>
      <c r="G156" s="7">
        <v>13092894.809999999</v>
      </c>
      <c r="H156" s="7">
        <f t="shared" si="1"/>
        <v>3273223.7024999997</v>
      </c>
      <c r="I156" s="8">
        <v>45433</v>
      </c>
      <c r="J156" s="5" t="s">
        <v>10</v>
      </c>
    </row>
    <row r="157" spans="1:10" x14ac:dyDescent="0.25">
      <c r="A157" s="6" t="s">
        <v>186</v>
      </c>
      <c r="B157" s="6" t="s">
        <v>65</v>
      </c>
      <c r="C157" s="6" t="s">
        <v>26</v>
      </c>
      <c r="D157" s="5">
        <v>47</v>
      </c>
      <c r="E157" s="7">
        <f t="shared" si="0"/>
        <v>75633.832500000004</v>
      </c>
      <c r="F157" s="7">
        <v>100845.11</v>
      </c>
      <c r="G157" s="7">
        <v>4739720.17</v>
      </c>
      <c r="H157" s="7">
        <f t="shared" si="1"/>
        <v>1184930.0424999997</v>
      </c>
      <c r="I157" s="8">
        <v>45349</v>
      </c>
      <c r="J157" s="6" t="s">
        <v>27</v>
      </c>
    </row>
    <row r="158" spans="1:10" x14ac:dyDescent="0.25">
      <c r="A158" s="5" t="s">
        <v>10</v>
      </c>
      <c r="B158" s="6" t="s">
        <v>129</v>
      </c>
      <c r="C158" s="6" t="s">
        <v>54</v>
      </c>
      <c r="D158" s="5">
        <v>47</v>
      </c>
      <c r="E158" s="7">
        <f t="shared" si="0"/>
        <v>102433.16249999999</v>
      </c>
      <c r="F158" s="7">
        <v>136577.54999999999</v>
      </c>
      <c r="G158" s="7">
        <v>6419144.8499999996</v>
      </c>
      <c r="H158" s="7">
        <f t="shared" si="1"/>
        <v>1604786.2124999999</v>
      </c>
      <c r="I158" s="8">
        <v>45470</v>
      </c>
      <c r="J158" s="5" t="s">
        <v>10</v>
      </c>
    </row>
    <row r="159" spans="1:10" x14ac:dyDescent="0.25">
      <c r="A159" s="6" t="s">
        <v>187</v>
      </c>
      <c r="B159" s="6" t="s">
        <v>15</v>
      </c>
      <c r="C159" s="6" t="s">
        <v>12</v>
      </c>
      <c r="D159" s="5">
        <v>47</v>
      </c>
      <c r="E159" s="7">
        <f t="shared" si="0"/>
        <v>144429.80249999999</v>
      </c>
      <c r="F159" s="7">
        <v>192573.07</v>
      </c>
      <c r="G159" s="7">
        <v>9050934.290000001</v>
      </c>
      <c r="H159" s="7">
        <f t="shared" si="1"/>
        <v>2262733.5725000007</v>
      </c>
      <c r="I159" s="8">
        <v>45174</v>
      </c>
      <c r="J159" s="6" t="s">
        <v>13</v>
      </c>
    </row>
    <row r="160" spans="1:10" x14ac:dyDescent="0.25">
      <c r="A160" s="6" t="s">
        <v>188</v>
      </c>
      <c r="B160" s="6" t="s">
        <v>11</v>
      </c>
      <c r="C160" s="6" t="s">
        <v>26</v>
      </c>
      <c r="D160" s="5">
        <v>47</v>
      </c>
      <c r="E160" s="7">
        <f t="shared" si="0"/>
        <v>118150.04999999999</v>
      </c>
      <c r="F160" s="7">
        <v>157533.4</v>
      </c>
      <c r="G160" s="7">
        <v>7404069.7999999998</v>
      </c>
      <c r="H160" s="7">
        <f t="shared" si="1"/>
        <v>1851017.4500000002</v>
      </c>
      <c r="I160" s="8">
        <v>45652</v>
      </c>
      <c r="J160" s="6" t="s">
        <v>17</v>
      </c>
    </row>
    <row r="161" spans="1:10" x14ac:dyDescent="0.25">
      <c r="A161" s="6" t="s">
        <v>189</v>
      </c>
      <c r="B161" s="6" t="s">
        <v>76</v>
      </c>
      <c r="C161" s="6" t="s">
        <v>12</v>
      </c>
      <c r="D161" s="5">
        <v>47</v>
      </c>
      <c r="E161" s="7">
        <f t="shared" si="0"/>
        <v>200125.02</v>
      </c>
      <c r="F161" s="7">
        <v>266833.36</v>
      </c>
      <c r="G161" s="7">
        <v>12541167.92</v>
      </c>
      <c r="H161" s="7">
        <f t="shared" si="1"/>
        <v>3135291.98</v>
      </c>
      <c r="I161" s="8">
        <v>45164</v>
      </c>
      <c r="J161" s="5" t="s">
        <v>10</v>
      </c>
    </row>
    <row r="162" spans="1:10" x14ac:dyDescent="0.25">
      <c r="A162" s="6" t="s">
        <v>190</v>
      </c>
      <c r="B162" s="6" t="s">
        <v>88</v>
      </c>
      <c r="C162" s="6" t="s">
        <v>12</v>
      </c>
      <c r="D162" s="5">
        <v>47</v>
      </c>
      <c r="E162" s="7">
        <f t="shared" si="0"/>
        <v>118416.93</v>
      </c>
      <c r="F162" s="7">
        <v>157889.24</v>
      </c>
      <c r="G162" s="7">
        <v>7420794.2799999993</v>
      </c>
      <c r="H162" s="7">
        <f t="shared" si="1"/>
        <v>1855198.5699999998</v>
      </c>
      <c r="I162" s="8">
        <v>45240</v>
      </c>
      <c r="J162" s="5" t="s">
        <v>10</v>
      </c>
    </row>
    <row r="163" spans="1:10" x14ac:dyDescent="0.25">
      <c r="A163" s="6" t="s">
        <v>191</v>
      </c>
      <c r="B163" s="6" t="s">
        <v>21</v>
      </c>
      <c r="C163" s="6" t="s">
        <v>12</v>
      </c>
      <c r="D163" s="5">
        <v>56</v>
      </c>
      <c r="E163" s="7">
        <f t="shared" si="0"/>
        <v>30519.659999999996</v>
      </c>
      <c r="F163" s="7">
        <v>40692.879999999997</v>
      </c>
      <c r="G163" s="7">
        <v>2278801.2799999998</v>
      </c>
      <c r="H163" s="7">
        <f t="shared" si="1"/>
        <v>569700.32000000007</v>
      </c>
      <c r="I163" s="8">
        <v>45459</v>
      </c>
      <c r="J163" s="6" t="s">
        <v>13</v>
      </c>
    </row>
    <row r="164" spans="1:10" x14ac:dyDescent="0.25">
      <c r="A164" s="6" t="s">
        <v>192</v>
      </c>
      <c r="B164" s="6" t="s">
        <v>38</v>
      </c>
      <c r="C164" s="6" t="s">
        <v>66</v>
      </c>
      <c r="D164" s="5">
        <v>47</v>
      </c>
      <c r="E164" s="7">
        <f t="shared" si="0"/>
        <v>113633.77500000001</v>
      </c>
      <c r="F164" s="7">
        <v>151511.70000000001</v>
      </c>
      <c r="G164" s="7">
        <v>7121049.9000000004</v>
      </c>
      <c r="H164" s="7">
        <f t="shared" si="1"/>
        <v>1780262.4750000001</v>
      </c>
      <c r="I164" s="8">
        <v>45440</v>
      </c>
      <c r="J164" s="6" t="s">
        <v>13</v>
      </c>
    </row>
    <row r="165" spans="1:10" x14ac:dyDescent="0.25">
      <c r="A165" s="6" t="s">
        <v>193</v>
      </c>
      <c r="B165" s="6" t="s">
        <v>21</v>
      </c>
      <c r="C165" s="6" t="s">
        <v>39</v>
      </c>
      <c r="D165" s="5">
        <v>47</v>
      </c>
      <c r="E165" s="7">
        <f t="shared" si="0"/>
        <v>61661.032500000001</v>
      </c>
      <c r="F165" s="7">
        <v>82214.710000000006</v>
      </c>
      <c r="G165" s="7">
        <v>3864091.37</v>
      </c>
      <c r="H165" s="7">
        <f t="shared" si="1"/>
        <v>966022.84250000026</v>
      </c>
      <c r="I165" s="8">
        <v>45494</v>
      </c>
      <c r="J165" s="6" t="s">
        <v>40</v>
      </c>
    </row>
    <row r="166" spans="1:10" x14ac:dyDescent="0.25">
      <c r="A166" s="6" t="s">
        <v>194</v>
      </c>
      <c r="B166" s="6" t="s">
        <v>34</v>
      </c>
      <c r="C166" s="6" t="s">
        <v>23</v>
      </c>
      <c r="D166" s="5">
        <v>68</v>
      </c>
      <c r="E166" s="7">
        <f t="shared" si="0"/>
        <v>182054.82</v>
      </c>
      <c r="F166" s="7">
        <v>242739.76</v>
      </c>
      <c r="G166" s="7">
        <v>16506303.68</v>
      </c>
      <c r="H166" s="7">
        <f t="shared" si="1"/>
        <v>4126575.92</v>
      </c>
      <c r="I166" s="8">
        <v>45478</v>
      </c>
      <c r="J166" s="6" t="s">
        <v>17</v>
      </c>
    </row>
    <row r="167" spans="1:10" x14ac:dyDescent="0.25">
      <c r="A167" s="6" t="s">
        <v>195</v>
      </c>
      <c r="B167" s="6" t="s">
        <v>32</v>
      </c>
      <c r="C167" s="6" t="s">
        <v>26</v>
      </c>
      <c r="D167" s="5">
        <v>47</v>
      </c>
      <c r="E167" s="7">
        <f t="shared" si="0"/>
        <v>74654.917499999996</v>
      </c>
      <c r="F167" s="7">
        <v>99539.89</v>
      </c>
      <c r="G167" s="7">
        <v>4678374.83</v>
      </c>
      <c r="H167" s="7">
        <f t="shared" si="1"/>
        <v>1169593.7075000003</v>
      </c>
      <c r="I167" s="8">
        <v>45276</v>
      </c>
      <c r="J167" s="6" t="s">
        <v>40</v>
      </c>
    </row>
    <row r="168" spans="1:10" x14ac:dyDescent="0.25">
      <c r="A168" s="6" t="s">
        <v>196</v>
      </c>
      <c r="B168" s="6" t="s">
        <v>32</v>
      </c>
      <c r="C168" s="6" t="s">
        <v>54</v>
      </c>
      <c r="D168" s="5">
        <v>47</v>
      </c>
      <c r="E168" s="7">
        <f t="shared" si="0"/>
        <v>164602.6575</v>
      </c>
      <c r="F168" s="7">
        <v>219470.21</v>
      </c>
      <c r="G168" s="7">
        <v>10315099.869999999</v>
      </c>
      <c r="H168" s="7">
        <f t="shared" si="1"/>
        <v>2578774.9674999993</v>
      </c>
      <c r="I168" s="8">
        <v>45382</v>
      </c>
      <c r="J168" s="5" t="s">
        <v>10</v>
      </c>
    </row>
    <row r="169" spans="1:10" x14ac:dyDescent="0.25">
      <c r="A169" s="6" t="s">
        <v>197</v>
      </c>
      <c r="B169" s="6" t="s">
        <v>129</v>
      </c>
      <c r="C169" s="6" t="s">
        <v>26</v>
      </c>
      <c r="D169" s="5">
        <v>47</v>
      </c>
      <c r="E169" s="7">
        <f t="shared" si="0"/>
        <v>145996.095</v>
      </c>
      <c r="F169" s="7">
        <v>194661.46</v>
      </c>
      <c r="G169" s="7">
        <v>9149088.6199999992</v>
      </c>
      <c r="H169" s="7">
        <f t="shared" si="1"/>
        <v>2287272.1549999993</v>
      </c>
      <c r="I169" s="8">
        <v>45589</v>
      </c>
      <c r="J169" s="6" t="s">
        <v>13</v>
      </c>
    </row>
    <row r="170" spans="1:10" x14ac:dyDescent="0.25">
      <c r="A170" s="6" t="s">
        <v>198</v>
      </c>
      <c r="B170" s="6" t="s">
        <v>32</v>
      </c>
      <c r="C170" s="6" t="s">
        <v>23</v>
      </c>
      <c r="D170" s="5">
        <v>100</v>
      </c>
      <c r="E170" s="7">
        <f t="shared" si="0"/>
        <v>161790.11249999999</v>
      </c>
      <c r="F170" s="7">
        <v>215720.15</v>
      </c>
      <c r="G170" s="7">
        <v>21572015</v>
      </c>
      <c r="H170" s="7">
        <f t="shared" si="1"/>
        <v>5393003.7500000009</v>
      </c>
      <c r="I170" s="8">
        <v>45229</v>
      </c>
      <c r="J170" s="5" t="s">
        <v>10</v>
      </c>
    </row>
    <row r="171" spans="1:10" x14ac:dyDescent="0.25">
      <c r="A171" s="5" t="s">
        <v>10</v>
      </c>
      <c r="B171" s="6" t="s">
        <v>30</v>
      </c>
      <c r="C171" s="6" t="s">
        <v>45</v>
      </c>
      <c r="D171" s="5">
        <v>47</v>
      </c>
      <c r="E171" s="7">
        <f t="shared" si="0"/>
        <v>3538.665</v>
      </c>
      <c r="F171" s="7">
        <v>4718.22</v>
      </c>
      <c r="G171" s="7">
        <v>221756.34000000003</v>
      </c>
      <c r="H171" s="7">
        <f t="shared" si="1"/>
        <v>55439.085000000014</v>
      </c>
      <c r="I171" s="8">
        <v>45360</v>
      </c>
      <c r="J171" s="6" t="s">
        <v>27</v>
      </c>
    </row>
    <row r="172" spans="1:10" x14ac:dyDescent="0.25">
      <c r="A172" s="6" t="s">
        <v>199</v>
      </c>
      <c r="B172" s="6" t="s">
        <v>25</v>
      </c>
      <c r="C172" s="6" t="s">
        <v>12</v>
      </c>
      <c r="D172" s="5">
        <v>82</v>
      </c>
      <c r="E172" s="7">
        <f t="shared" si="0"/>
        <v>118416.93</v>
      </c>
      <c r="F172" s="7">
        <v>157889.24</v>
      </c>
      <c r="G172" s="7">
        <v>12946917.68</v>
      </c>
      <c r="H172" s="7">
        <f t="shared" si="1"/>
        <v>3236729.42</v>
      </c>
      <c r="I172" s="8">
        <v>45787</v>
      </c>
      <c r="J172" s="6" t="s">
        <v>17</v>
      </c>
    </row>
    <row r="173" spans="1:10" x14ac:dyDescent="0.25">
      <c r="A173" s="6" t="s">
        <v>200</v>
      </c>
      <c r="B173" s="6" t="s">
        <v>25</v>
      </c>
      <c r="C173" s="6" t="s">
        <v>45</v>
      </c>
      <c r="D173" s="5">
        <v>47</v>
      </c>
      <c r="E173" s="7">
        <f t="shared" si="0"/>
        <v>76098.825000000012</v>
      </c>
      <c r="F173" s="7">
        <v>101465.1</v>
      </c>
      <c r="G173" s="7">
        <v>4768859.7</v>
      </c>
      <c r="H173" s="7">
        <f t="shared" si="1"/>
        <v>1192214.9249999998</v>
      </c>
      <c r="I173" s="8">
        <v>45675</v>
      </c>
      <c r="J173" s="6" t="s">
        <v>27</v>
      </c>
    </row>
    <row r="174" spans="1:10" x14ac:dyDescent="0.25">
      <c r="A174" s="6" t="s">
        <v>201</v>
      </c>
      <c r="B174" s="6" t="s">
        <v>129</v>
      </c>
      <c r="C174" s="6" t="s">
        <v>54</v>
      </c>
      <c r="D174" s="5">
        <v>47</v>
      </c>
      <c r="E174" s="7">
        <f t="shared" si="0"/>
        <v>66644.827499999999</v>
      </c>
      <c r="F174" s="7">
        <v>88859.77</v>
      </c>
      <c r="G174" s="7">
        <v>4176409.1900000004</v>
      </c>
      <c r="H174" s="7">
        <f t="shared" si="1"/>
        <v>1044102.2975000002</v>
      </c>
      <c r="I174" s="8">
        <v>45366</v>
      </c>
      <c r="J174" s="6" t="s">
        <v>13</v>
      </c>
    </row>
    <row r="175" spans="1:10" x14ac:dyDescent="0.25">
      <c r="A175" s="6" t="s">
        <v>202</v>
      </c>
      <c r="B175" s="6" t="s">
        <v>30</v>
      </c>
      <c r="C175" s="6" t="s">
        <v>45</v>
      </c>
      <c r="D175" s="5">
        <v>47</v>
      </c>
      <c r="E175" s="7">
        <f t="shared" si="0"/>
        <v>151862.35500000001</v>
      </c>
      <c r="F175" s="7">
        <v>202483.14</v>
      </c>
      <c r="G175" s="7">
        <v>9516707.5800000001</v>
      </c>
      <c r="H175" s="7">
        <f t="shared" si="1"/>
        <v>2379176.895</v>
      </c>
      <c r="I175" s="8">
        <v>45688</v>
      </c>
      <c r="J175" s="6" t="s">
        <v>13</v>
      </c>
    </row>
    <row r="176" spans="1:10" x14ac:dyDescent="0.25">
      <c r="A176" s="6" t="s">
        <v>203</v>
      </c>
      <c r="B176" s="6" t="s">
        <v>62</v>
      </c>
      <c r="C176" s="6" t="s">
        <v>45</v>
      </c>
      <c r="D176" s="5">
        <v>83</v>
      </c>
      <c r="E176" s="7">
        <f t="shared" si="0"/>
        <v>43763.857499999998</v>
      </c>
      <c r="F176" s="7">
        <v>58351.81</v>
      </c>
      <c r="G176" s="7">
        <v>4843200.2300000004</v>
      </c>
      <c r="H176" s="7">
        <f t="shared" si="1"/>
        <v>1210800.0574999999</v>
      </c>
      <c r="I176" s="8">
        <v>45786</v>
      </c>
      <c r="J176" s="6" t="s">
        <v>13</v>
      </c>
    </row>
    <row r="177" spans="1:10" x14ac:dyDescent="0.25">
      <c r="A177" s="6" t="s">
        <v>204</v>
      </c>
      <c r="B177" s="6" t="s">
        <v>19</v>
      </c>
      <c r="C177" s="6" t="s">
        <v>12</v>
      </c>
      <c r="D177" s="5">
        <v>31</v>
      </c>
      <c r="E177" s="7">
        <f t="shared" si="0"/>
        <v>137610.6525</v>
      </c>
      <c r="F177" s="7">
        <v>183480.87</v>
      </c>
      <c r="G177" s="7">
        <v>5687906.9699999997</v>
      </c>
      <c r="H177" s="7">
        <f t="shared" si="1"/>
        <v>1421976.7424999999</v>
      </c>
      <c r="I177" s="8">
        <v>45386</v>
      </c>
      <c r="J177" s="6" t="s">
        <v>17</v>
      </c>
    </row>
    <row r="178" spans="1:10" x14ac:dyDescent="0.25">
      <c r="A178" s="6" t="s">
        <v>205</v>
      </c>
      <c r="B178" s="6" t="s">
        <v>47</v>
      </c>
      <c r="C178" s="6" t="s">
        <v>23</v>
      </c>
      <c r="D178" s="5">
        <v>47</v>
      </c>
      <c r="E178" s="7">
        <f t="shared" si="0"/>
        <v>143848.785</v>
      </c>
      <c r="F178" s="7">
        <v>191798.38</v>
      </c>
      <c r="G178" s="7">
        <v>9014523.8599999994</v>
      </c>
      <c r="H178" s="7">
        <f t="shared" si="1"/>
        <v>2253630.9649999999</v>
      </c>
      <c r="I178" s="8">
        <v>45427</v>
      </c>
      <c r="J178" s="6" t="s">
        <v>40</v>
      </c>
    </row>
    <row r="179" spans="1:10" x14ac:dyDescent="0.25">
      <c r="A179" s="6" t="s">
        <v>206</v>
      </c>
      <c r="B179" s="6" t="s">
        <v>49</v>
      </c>
      <c r="C179" s="6" t="s">
        <v>23</v>
      </c>
      <c r="D179" s="5">
        <v>26</v>
      </c>
      <c r="E179" s="7">
        <f t="shared" si="0"/>
        <v>91458.277499999997</v>
      </c>
      <c r="F179" s="7">
        <v>121944.37</v>
      </c>
      <c r="G179" s="7">
        <v>3170553.62</v>
      </c>
      <c r="H179" s="7">
        <f t="shared" si="1"/>
        <v>792638.40500000003</v>
      </c>
      <c r="I179" s="8">
        <v>45219</v>
      </c>
      <c r="J179" s="5" t="s">
        <v>10</v>
      </c>
    </row>
    <row r="180" spans="1:10" x14ac:dyDescent="0.25">
      <c r="A180" s="6" t="s">
        <v>207</v>
      </c>
      <c r="B180" s="6" t="s">
        <v>36</v>
      </c>
      <c r="C180" s="6" t="s">
        <v>23</v>
      </c>
      <c r="D180" s="5">
        <v>78</v>
      </c>
      <c r="E180" s="7">
        <f t="shared" si="0"/>
        <v>96447.84</v>
      </c>
      <c r="F180" s="7">
        <v>128597.12</v>
      </c>
      <c r="G180" s="7">
        <v>10030575.359999999</v>
      </c>
      <c r="H180" s="7">
        <f t="shared" si="1"/>
        <v>2507643.84</v>
      </c>
      <c r="I180" s="8">
        <v>45708</v>
      </c>
      <c r="J180" s="5" t="s">
        <v>10</v>
      </c>
    </row>
    <row r="181" spans="1:10" x14ac:dyDescent="0.25">
      <c r="A181" s="6" t="s">
        <v>208</v>
      </c>
      <c r="B181" s="6" t="s">
        <v>43</v>
      </c>
      <c r="C181" s="6" t="s">
        <v>26</v>
      </c>
      <c r="D181" s="5">
        <v>47</v>
      </c>
      <c r="E181" s="7">
        <f t="shared" si="0"/>
        <v>74035.522499999992</v>
      </c>
      <c r="F181" s="7">
        <v>98714.03</v>
      </c>
      <c r="G181" s="7">
        <v>4639559.41</v>
      </c>
      <c r="H181" s="7">
        <f t="shared" si="1"/>
        <v>1159889.8525000003</v>
      </c>
      <c r="I181" s="8">
        <v>45405</v>
      </c>
      <c r="J181" s="5" t="s">
        <v>10</v>
      </c>
    </row>
    <row r="182" spans="1:10" x14ac:dyDescent="0.25">
      <c r="A182" s="6" t="s">
        <v>209</v>
      </c>
      <c r="B182" s="6" t="s">
        <v>30</v>
      </c>
      <c r="C182" s="6" t="s">
        <v>39</v>
      </c>
      <c r="D182" s="5">
        <v>10</v>
      </c>
      <c r="E182" s="7">
        <f t="shared" si="0"/>
        <v>118416.93</v>
      </c>
      <c r="F182" s="7">
        <v>157889.24</v>
      </c>
      <c r="G182" s="7">
        <v>1578892.4</v>
      </c>
      <c r="H182" s="7">
        <f t="shared" si="1"/>
        <v>394723.1</v>
      </c>
      <c r="I182" s="8">
        <v>45517</v>
      </c>
      <c r="J182" s="5" t="s">
        <v>10</v>
      </c>
    </row>
    <row r="183" spans="1:10" x14ac:dyDescent="0.25">
      <c r="A183" s="6" t="s">
        <v>210</v>
      </c>
      <c r="B183" s="6" t="s">
        <v>43</v>
      </c>
      <c r="C183" s="6" t="s">
        <v>26</v>
      </c>
      <c r="D183" s="5">
        <v>47</v>
      </c>
      <c r="E183" s="7">
        <f t="shared" si="0"/>
        <v>90412.17</v>
      </c>
      <c r="F183" s="7">
        <v>120549.56</v>
      </c>
      <c r="G183" s="7">
        <v>5665829.3200000003</v>
      </c>
      <c r="H183" s="7">
        <f t="shared" si="1"/>
        <v>1416457.33</v>
      </c>
      <c r="I183" s="8">
        <v>45554</v>
      </c>
      <c r="J183" s="5" t="s">
        <v>10</v>
      </c>
    </row>
    <row r="184" spans="1:10" x14ac:dyDescent="0.25">
      <c r="A184" s="5" t="s">
        <v>10</v>
      </c>
      <c r="B184" s="6" t="s">
        <v>88</v>
      </c>
      <c r="C184" s="6" t="s">
        <v>45</v>
      </c>
      <c r="D184" s="5">
        <v>47</v>
      </c>
      <c r="E184" s="7">
        <f t="shared" si="0"/>
        <v>21800.880000000001</v>
      </c>
      <c r="F184" s="7">
        <v>29067.84</v>
      </c>
      <c r="G184" s="7">
        <v>1366188.48</v>
      </c>
      <c r="H184" s="7">
        <f t="shared" si="1"/>
        <v>341547.11999999994</v>
      </c>
      <c r="I184" s="8">
        <v>45200</v>
      </c>
      <c r="J184" s="6" t="s">
        <v>40</v>
      </c>
    </row>
    <row r="185" spans="1:10" x14ac:dyDescent="0.25">
      <c r="A185" s="6" t="s">
        <v>211</v>
      </c>
      <c r="B185" s="6" t="s">
        <v>74</v>
      </c>
      <c r="C185" s="6" t="s">
        <v>39</v>
      </c>
      <c r="D185" s="5">
        <v>47</v>
      </c>
      <c r="E185" s="7">
        <f t="shared" si="0"/>
        <v>220886.03999999998</v>
      </c>
      <c r="F185" s="7">
        <v>294514.71999999997</v>
      </c>
      <c r="G185" s="7">
        <v>13842191.839999998</v>
      </c>
      <c r="H185" s="7">
        <f t="shared" si="1"/>
        <v>3460547.9599999995</v>
      </c>
      <c r="I185" s="8">
        <v>45365</v>
      </c>
      <c r="J185" s="6" t="s">
        <v>27</v>
      </c>
    </row>
    <row r="186" spans="1:10" x14ac:dyDescent="0.25">
      <c r="A186" s="6" t="s">
        <v>212</v>
      </c>
      <c r="B186" s="6" t="s">
        <v>76</v>
      </c>
      <c r="C186" s="6" t="s">
        <v>16</v>
      </c>
      <c r="D186" s="5">
        <v>47</v>
      </c>
      <c r="E186" s="7">
        <f t="shared" si="0"/>
        <v>107623.125</v>
      </c>
      <c r="F186" s="7">
        <v>143497.5</v>
      </c>
      <c r="G186" s="7">
        <v>6744382.5</v>
      </c>
      <c r="H186" s="7">
        <f t="shared" si="1"/>
        <v>1686095.625</v>
      </c>
      <c r="I186" s="8">
        <v>45305</v>
      </c>
      <c r="J186" s="6" t="s">
        <v>17</v>
      </c>
    </row>
    <row r="187" spans="1:10" x14ac:dyDescent="0.25">
      <c r="A187" s="6" t="s">
        <v>213</v>
      </c>
      <c r="B187" s="6" t="s">
        <v>58</v>
      </c>
      <c r="C187" s="6" t="s">
        <v>26</v>
      </c>
      <c r="D187" s="5">
        <v>47</v>
      </c>
      <c r="E187" s="7">
        <f t="shared" si="0"/>
        <v>210584.77500000002</v>
      </c>
      <c r="F187" s="7">
        <v>280779.7</v>
      </c>
      <c r="G187" s="7">
        <v>13196645.9</v>
      </c>
      <c r="H187" s="7">
        <f t="shared" si="1"/>
        <v>3299161.4749999996</v>
      </c>
      <c r="I187" s="8">
        <v>45480</v>
      </c>
      <c r="J187" s="6" t="s">
        <v>27</v>
      </c>
    </row>
    <row r="188" spans="1:10" x14ac:dyDescent="0.25">
      <c r="A188" s="6" t="s">
        <v>214</v>
      </c>
      <c r="B188" s="6" t="s">
        <v>47</v>
      </c>
      <c r="C188" s="6" t="s">
        <v>26</v>
      </c>
      <c r="D188" s="5">
        <v>47</v>
      </c>
      <c r="E188" s="7">
        <f t="shared" si="0"/>
        <v>1909.2149999999999</v>
      </c>
      <c r="F188" s="7">
        <v>2545.62</v>
      </c>
      <c r="G188" s="7">
        <v>119644.14</v>
      </c>
      <c r="H188" s="7">
        <f t="shared" si="1"/>
        <v>29911.035</v>
      </c>
      <c r="I188" s="8">
        <v>45213</v>
      </c>
      <c r="J188" s="6" t="s">
        <v>27</v>
      </c>
    </row>
    <row r="189" spans="1:10" x14ac:dyDescent="0.25">
      <c r="A189" s="6" t="s">
        <v>215</v>
      </c>
      <c r="B189" s="6" t="s">
        <v>58</v>
      </c>
      <c r="C189" s="6" t="s">
        <v>12</v>
      </c>
      <c r="D189" s="5">
        <v>47</v>
      </c>
      <c r="E189" s="7">
        <f t="shared" si="0"/>
        <v>86535.397499999992</v>
      </c>
      <c r="F189" s="7">
        <v>115380.53</v>
      </c>
      <c r="G189" s="7">
        <v>5422884.9100000001</v>
      </c>
      <c r="H189" s="7">
        <f t="shared" si="1"/>
        <v>1355721.2275000003</v>
      </c>
      <c r="I189" s="8">
        <v>45325</v>
      </c>
      <c r="J189" s="5" t="s">
        <v>10</v>
      </c>
    </row>
    <row r="190" spans="1:10" x14ac:dyDescent="0.25">
      <c r="A190" s="6" t="s">
        <v>216</v>
      </c>
      <c r="B190" s="6" t="s">
        <v>11</v>
      </c>
      <c r="C190" s="6" t="s">
        <v>23</v>
      </c>
      <c r="D190" s="5">
        <v>47</v>
      </c>
      <c r="E190" s="7">
        <f t="shared" si="0"/>
        <v>100722.9675</v>
      </c>
      <c r="F190" s="7">
        <v>134297.29</v>
      </c>
      <c r="G190" s="7">
        <v>6311972.6300000008</v>
      </c>
      <c r="H190" s="7">
        <f t="shared" si="1"/>
        <v>1577993.1575000004</v>
      </c>
      <c r="I190" s="8">
        <v>45467</v>
      </c>
      <c r="J190" s="5" t="s">
        <v>10</v>
      </c>
    </row>
    <row r="191" spans="1:10" x14ac:dyDescent="0.25">
      <c r="A191" s="6" t="s">
        <v>217</v>
      </c>
      <c r="B191" s="6" t="s">
        <v>21</v>
      </c>
      <c r="C191" s="6" t="s">
        <v>23</v>
      </c>
      <c r="D191" s="5">
        <v>41</v>
      </c>
      <c r="E191" s="7">
        <f t="shared" si="0"/>
        <v>60348.600000000006</v>
      </c>
      <c r="F191" s="7">
        <v>80464.800000000003</v>
      </c>
      <c r="G191" s="7">
        <v>3299056.8</v>
      </c>
      <c r="H191" s="7">
        <f t="shared" si="1"/>
        <v>824764.19999999984</v>
      </c>
      <c r="I191" s="8">
        <v>45310</v>
      </c>
      <c r="J191" s="6" t="s">
        <v>40</v>
      </c>
    </row>
    <row r="192" spans="1:10" x14ac:dyDescent="0.25">
      <c r="A192" s="6" t="s">
        <v>218</v>
      </c>
      <c r="B192" s="6" t="s">
        <v>21</v>
      </c>
      <c r="C192" s="6" t="s">
        <v>39</v>
      </c>
      <c r="D192" s="5">
        <v>57</v>
      </c>
      <c r="E192" s="7">
        <f t="shared" si="0"/>
        <v>118416.93</v>
      </c>
      <c r="F192" s="7">
        <v>157889.24</v>
      </c>
      <c r="G192" s="7">
        <v>8999686.6799999997</v>
      </c>
      <c r="H192" s="7">
        <f t="shared" si="1"/>
        <v>2249921.67</v>
      </c>
      <c r="I192" s="8">
        <v>45227</v>
      </c>
      <c r="J192" s="6" t="s">
        <v>17</v>
      </c>
    </row>
    <row r="193" spans="1:10" x14ac:dyDescent="0.25">
      <c r="A193" s="6" t="s">
        <v>219</v>
      </c>
      <c r="B193" s="6" t="s">
        <v>32</v>
      </c>
      <c r="C193" s="6" t="s">
        <v>26</v>
      </c>
      <c r="D193" s="5">
        <v>47</v>
      </c>
      <c r="E193" s="7">
        <f t="shared" si="0"/>
        <v>74417.084999999992</v>
      </c>
      <c r="F193" s="7">
        <v>99222.78</v>
      </c>
      <c r="G193" s="7">
        <v>4663470.66</v>
      </c>
      <c r="H193" s="7">
        <f t="shared" si="1"/>
        <v>1165867.6650000003</v>
      </c>
      <c r="I193" s="8">
        <v>45193</v>
      </c>
      <c r="J193" s="6" t="s">
        <v>13</v>
      </c>
    </row>
    <row r="194" spans="1:10" x14ac:dyDescent="0.25">
      <c r="A194" s="6" t="s">
        <v>220</v>
      </c>
      <c r="B194" s="6" t="s">
        <v>65</v>
      </c>
      <c r="C194" s="6" t="s">
        <v>23</v>
      </c>
      <c r="D194" s="5">
        <v>47</v>
      </c>
      <c r="E194" s="7">
        <f t="shared" si="0"/>
        <v>131210.25</v>
      </c>
      <c r="F194" s="7">
        <v>174947</v>
      </c>
      <c r="G194" s="7">
        <v>8222509</v>
      </c>
      <c r="H194" s="7">
        <f t="shared" si="1"/>
        <v>2055627.25</v>
      </c>
      <c r="I194" s="8">
        <v>45157</v>
      </c>
      <c r="J194" s="6" t="s">
        <v>27</v>
      </c>
    </row>
    <row r="195" spans="1:10" x14ac:dyDescent="0.25">
      <c r="A195" s="6" t="s">
        <v>221</v>
      </c>
      <c r="B195" s="6" t="s">
        <v>15</v>
      </c>
      <c r="C195" s="6" t="s">
        <v>26</v>
      </c>
      <c r="D195" s="5">
        <v>47</v>
      </c>
      <c r="E195" s="7">
        <f t="shared" si="0"/>
        <v>129057.57749999998</v>
      </c>
      <c r="F195" s="7">
        <v>172076.77</v>
      </c>
      <c r="G195" s="7">
        <v>8087608.1899999995</v>
      </c>
      <c r="H195" s="7">
        <f t="shared" si="1"/>
        <v>2021902.0475000003</v>
      </c>
      <c r="I195" s="8">
        <v>45343</v>
      </c>
      <c r="J195" s="6" t="s">
        <v>13</v>
      </c>
    </row>
    <row r="196" spans="1:10" x14ac:dyDescent="0.25">
      <c r="A196" s="6" t="s">
        <v>222</v>
      </c>
      <c r="B196" s="6" t="s">
        <v>34</v>
      </c>
      <c r="C196" s="6" t="s">
        <v>45</v>
      </c>
      <c r="D196" s="5">
        <v>47</v>
      </c>
      <c r="E196" s="7">
        <f t="shared" si="0"/>
        <v>59126.377500000002</v>
      </c>
      <c r="F196" s="7">
        <v>78835.17</v>
      </c>
      <c r="G196" s="7">
        <v>3705252.9899999998</v>
      </c>
      <c r="H196" s="7">
        <f t="shared" si="1"/>
        <v>926313.24749999982</v>
      </c>
      <c r="I196" s="8">
        <v>45416</v>
      </c>
      <c r="J196" s="6" t="s">
        <v>17</v>
      </c>
    </row>
    <row r="197" spans="1:10" x14ac:dyDescent="0.25">
      <c r="A197" s="5" t="s">
        <v>10</v>
      </c>
      <c r="B197" s="6" t="s">
        <v>30</v>
      </c>
      <c r="C197" s="6" t="s">
        <v>16</v>
      </c>
      <c r="D197" s="5">
        <v>65</v>
      </c>
      <c r="E197" s="7">
        <f t="shared" si="0"/>
        <v>81139.387500000012</v>
      </c>
      <c r="F197" s="7">
        <v>108185.85</v>
      </c>
      <c r="G197" s="7">
        <v>7032080.25</v>
      </c>
      <c r="H197" s="7">
        <f t="shared" si="1"/>
        <v>1758020.0624999995</v>
      </c>
      <c r="I197" s="8">
        <v>45789</v>
      </c>
      <c r="J197" s="6" t="s">
        <v>27</v>
      </c>
    </row>
    <row r="198" spans="1:10" x14ac:dyDescent="0.25">
      <c r="A198" s="6" t="s">
        <v>223</v>
      </c>
      <c r="B198" s="6" t="s">
        <v>21</v>
      </c>
      <c r="C198" s="6" t="s">
        <v>23</v>
      </c>
      <c r="D198" s="5">
        <v>47</v>
      </c>
      <c r="E198" s="7">
        <f t="shared" si="0"/>
        <v>53454.464999999997</v>
      </c>
      <c r="F198" s="7">
        <v>71272.62</v>
      </c>
      <c r="G198" s="7">
        <v>3349813.1399999997</v>
      </c>
      <c r="H198" s="7">
        <f t="shared" si="1"/>
        <v>837453.28499999992</v>
      </c>
      <c r="I198" s="8">
        <v>45595</v>
      </c>
      <c r="J198" s="6" t="s">
        <v>13</v>
      </c>
    </row>
    <row r="199" spans="1:10" x14ac:dyDescent="0.25">
      <c r="A199" s="6" t="s">
        <v>224</v>
      </c>
      <c r="B199" s="6" t="s">
        <v>34</v>
      </c>
      <c r="C199" s="6" t="s">
        <v>66</v>
      </c>
      <c r="D199" s="5">
        <v>58</v>
      </c>
      <c r="E199" s="7">
        <f t="shared" si="0"/>
        <v>150376.45500000002</v>
      </c>
      <c r="F199" s="7">
        <v>200501.94</v>
      </c>
      <c r="G199" s="7">
        <v>11629112.52</v>
      </c>
      <c r="H199" s="7">
        <f t="shared" si="1"/>
        <v>2907278.129999999</v>
      </c>
      <c r="I199" s="8">
        <v>45442</v>
      </c>
      <c r="J199" s="6" t="s">
        <v>13</v>
      </c>
    </row>
    <row r="200" spans="1:10" x14ac:dyDescent="0.25">
      <c r="A200" s="6" t="s">
        <v>225</v>
      </c>
      <c r="B200" s="6" t="s">
        <v>21</v>
      </c>
      <c r="C200" s="6" t="s">
        <v>16</v>
      </c>
      <c r="D200" s="5">
        <v>47</v>
      </c>
      <c r="E200" s="7">
        <f t="shared" si="0"/>
        <v>104914.34999999999</v>
      </c>
      <c r="F200" s="7">
        <v>139885.79999999999</v>
      </c>
      <c r="G200" s="7">
        <v>6574632.5999999996</v>
      </c>
      <c r="H200" s="7">
        <f t="shared" si="1"/>
        <v>1643658.15</v>
      </c>
      <c r="I200" s="8">
        <v>45310</v>
      </c>
      <c r="J200" s="6" t="s">
        <v>40</v>
      </c>
    </row>
    <row r="201" spans="1:10" x14ac:dyDescent="0.25">
      <c r="A201" s="6" t="s">
        <v>226</v>
      </c>
      <c r="B201" s="6" t="s">
        <v>15</v>
      </c>
      <c r="C201" s="6" t="s">
        <v>23</v>
      </c>
      <c r="D201" s="5">
        <v>37</v>
      </c>
      <c r="E201" s="7">
        <f t="shared" si="0"/>
        <v>36251.392500000002</v>
      </c>
      <c r="F201" s="7">
        <v>48335.19</v>
      </c>
      <c r="G201" s="7">
        <v>1788402.03</v>
      </c>
      <c r="H201" s="7">
        <f t="shared" si="1"/>
        <v>447100.50750000001</v>
      </c>
      <c r="I201" s="8">
        <v>45790</v>
      </c>
      <c r="J201" s="6" t="s">
        <v>17</v>
      </c>
    </row>
    <row r="202" spans="1:10" x14ac:dyDescent="0.25">
      <c r="A202" s="6" t="s">
        <v>227</v>
      </c>
      <c r="B202" s="6" t="s">
        <v>32</v>
      </c>
      <c r="C202" s="6" t="s">
        <v>66</v>
      </c>
      <c r="D202" s="5">
        <v>83</v>
      </c>
      <c r="E202" s="7">
        <f t="shared" si="0"/>
        <v>118416.93</v>
      </c>
      <c r="F202" s="7">
        <v>157889.24</v>
      </c>
      <c r="G202" s="7">
        <v>13104806.92</v>
      </c>
      <c r="H202" s="7">
        <f t="shared" si="1"/>
        <v>3276201.73</v>
      </c>
      <c r="I202" s="8">
        <v>45818</v>
      </c>
      <c r="J202" s="6" t="s">
        <v>17</v>
      </c>
    </row>
    <row r="203" spans="1:10" x14ac:dyDescent="0.25">
      <c r="A203" s="6" t="s">
        <v>228</v>
      </c>
      <c r="B203" s="6" t="s">
        <v>38</v>
      </c>
      <c r="C203" s="6" t="s">
        <v>66</v>
      </c>
      <c r="D203" s="5">
        <v>47</v>
      </c>
      <c r="E203" s="7">
        <f t="shared" si="0"/>
        <v>154484.28749999998</v>
      </c>
      <c r="F203" s="7">
        <v>205979.05</v>
      </c>
      <c r="G203" s="7">
        <v>9681015.3499999996</v>
      </c>
      <c r="H203" s="7">
        <f t="shared" si="1"/>
        <v>2420253.8375000004</v>
      </c>
      <c r="I203" s="8">
        <v>45242</v>
      </c>
      <c r="J203" s="6" t="s">
        <v>17</v>
      </c>
    </row>
    <row r="204" spans="1:10" x14ac:dyDescent="0.25">
      <c r="A204" s="6" t="s">
        <v>229</v>
      </c>
      <c r="B204" s="6" t="s">
        <v>21</v>
      </c>
      <c r="C204" s="6" t="s">
        <v>23</v>
      </c>
      <c r="D204" s="5">
        <v>47</v>
      </c>
      <c r="E204" s="7">
        <f t="shared" si="0"/>
        <v>207727.6875</v>
      </c>
      <c r="F204" s="7">
        <v>276970.25</v>
      </c>
      <c r="G204" s="7">
        <v>13017601.75</v>
      </c>
      <c r="H204" s="7">
        <f t="shared" si="1"/>
        <v>3254400.4375</v>
      </c>
      <c r="I204" s="8">
        <v>45749</v>
      </c>
      <c r="J204" s="6" t="s">
        <v>27</v>
      </c>
    </row>
    <row r="205" spans="1:10" x14ac:dyDescent="0.25">
      <c r="A205" s="6" t="s">
        <v>230</v>
      </c>
      <c r="B205" s="6" t="s">
        <v>32</v>
      </c>
      <c r="C205" s="6" t="s">
        <v>16</v>
      </c>
      <c r="D205" s="5">
        <v>47</v>
      </c>
      <c r="E205" s="7">
        <f t="shared" si="0"/>
        <v>199797.39</v>
      </c>
      <c r="F205" s="7">
        <v>266396.52</v>
      </c>
      <c r="G205" s="7">
        <v>12520636.440000001</v>
      </c>
      <c r="H205" s="7">
        <f t="shared" si="1"/>
        <v>3130159.1100000003</v>
      </c>
      <c r="I205" s="8">
        <v>45372</v>
      </c>
      <c r="J205" s="6" t="s">
        <v>40</v>
      </c>
    </row>
    <row r="206" spans="1:10" x14ac:dyDescent="0.25">
      <c r="A206" s="6" t="s">
        <v>231</v>
      </c>
      <c r="B206" s="6" t="s">
        <v>38</v>
      </c>
      <c r="C206" s="6" t="s">
        <v>12</v>
      </c>
      <c r="D206" s="5">
        <v>47</v>
      </c>
      <c r="E206" s="7">
        <f t="shared" si="0"/>
        <v>173300.54250000001</v>
      </c>
      <c r="F206" s="7">
        <v>231067.39</v>
      </c>
      <c r="G206" s="7">
        <v>10860167.33</v>
      </c>
      <c r="H206" s="7">
        <f t="shared" si="1"/>
        <v>2715041.8325</v>
      </c>
      <c r="I206" s="8">
        <v>45843</v>
      </c>
      <c r="J206" s="5" t="s">
        <v>10</v>
      </c>
    </row>
    <row r="207" spans="1:10" x14ac:dyDescent="0.25">
      <c r="A207" s="6" t="s">
        <v>232</v>
      </c>
      <c r="B207" s="6" t="s">
        <v>65</v>
      </c>
      <c r="C207" s="6" t="s">
        <v>39</v>
      </c>
      <c r="D207" s="5">
        <v>47</v>
      </c>
      <c r="E207" s="7">
        <f t="shared" si="0"/>
        <v>155431.47750000001</v>
      </c>
      <c r="F207" s="7">
        <v>207241.97</v>
      </c>
      <c r="G207" s="7">
        <v>9740372.5899999999</v>
      </c>
      <c r="H207" s="7">
        <f t="shared" si="1"/>
        <v>2435093.1474999995</v>
      </c>
      <c r="I207" s="8">
        <v>45566</v>
      </c>
      <c r="J207" s="6" t="s">
        <v>27</v>
      </c>
    </row>
    <row r="208" spans="1:10" x14ac:dyDescent="0.25">
      <c r="A208" s="6" t="s">
        <v>233</v>
      </c>
      <c r="B208" s="6" t="s">
        <v>32</v>
      </c>
      <c r="C208" s="6" t="s">
        <v>66</v>
      </c>
      <c r="D208" s="5">
        <v>47</v>
      </c>
      <c r="E208" s="7">
        <f t="shared" si="0"/>
        <v>143845.53</v>
      </c>
      <c r="F208" s="7">
        <v>191794.04</v>
      </c>
      <c r="G208" s="7">
        <v>9014319.8800000008</v>
      </c>
      <c r="H208" s="7">
        <f t="shared" si="1"/>
        <v>2253579.9700000007</v>
      </c>
      <c r="I208" s="8">
        <v>45678</v>
      </c>
      <c r="J208" s="6" t="s">
        <v>17</v>
      </c>
    </row>
    <row r="209" spans="1:10" x14ac:dyDescent="0.25">
      <c r="A209" s="6" t="s">
        <v>234</v>
      </c>
      <c r="B209" s="6" t="s">
        <v>47</v>
      </c>
      <c r="C209" s="6" t="s">
        <v>23</v>
      </c>
      <c r="D209" s="5">
        <v>47</v>
      </c>
      <c r="E209" s="7">
        <f t="shared" si="0"/>
        <v>211665.2775</v>
      </c>
      <c r="F209" s="7">
        <v>282220.37</v>
      </c>
      <c r="G209" s="7">
        <v>13264357.390000001</v>
      </c>
      <c r="H209" s="7">
        <f t="shared" si="1"/>
        <v>3316089.3475000001</v>
      </c>
      <c r="I209" s="8">
        <v>45360</v>
      </c>
      <c r="J209" s="6" t="s">
        <v>27</v>
      </c>
    </row>
    <row r="210" spans="1:10" x14ac:dyDescent="0.25">
      <c r="A210" s="5" t="s">
        <v>10</v>
      </c>
      <c r="B210" s="6" t="s">
        <v>21</v>
      </c>
      <c r="C210" s="6" t="s">
        <v>12</v>
      </c>
      <c r="D210" s="5">
        <v>47</v>
      </c>
      <c r="E210" s="7">
        <f t="shared" si="0"/>
        <v>82934.549999999988</v>
      </c>
      <c r="F210" s="7">
        <v>110579.4</v>
      </c>
      <c r="G210" s="7">
        <v>5197231.8</v>
      </c>
      <c r="H210" s="7">
        <f t="shared" si="1"/>
        <v>1299307.9500000002</v>
      </c>
      <c r="I210" s="8">
        <v>45265</v>
      </c>
      <c r="J210" s="6" t="s">
        <v>13</v>
      </c>
    </row>
    <row r="211" spans="1:10" x14ac:dyDescent="0.25">
      <c r="A211" s="6" t="s">
        <v>235</v>
      </c>
      <c r="B211" s="6" t="s">
        <v>19</v>
      </c>
      <c r="C211" s="6" t="s">
        <v>12</v>
      </c>
      <c r="D211" s="5">
        <v>65</v>
      </c>
      <c r="E211" s="7">
        <f t="shared" si="0"/>
        <v>49983.262500000004</v>
      </c>
      <c r="F211" s="7">
        <v>66644.350000000006</v>
      </c>
      <c r="G211" s="7">
        <v>4331882.75</v>
      </c>
      <c r="H211" s="7">
        <f t="shared" si="1"/>
        <v>1082970.6875</v>
      </c>
      <c r="I211" s="8">
        <v>45710</v>
      </c>
      <c r="J211" s="6" t="s">
        <v>27</v>
      </c>
    </row>
    <row r="212" spans="1:10" x14ac:dyDescent="0.25">
      <c r="A212" s="6" t="s">
        <v>236</v>
      </c>
      <c r="B212" s="6" t="s">
        <v>129</v>
      </c>
      <c r="C212" s="6" t="s">
        <v>12</v>
      </c>
      <c r="D212" s="5">
        <v>47</v>
      </c>
      <c r="E212" s="7">
        <f t="shared" si="0"/>
        <v>118416.93</v>
      </c>
      <c r="F212" s="7">
        <v>157889.24</v>
      </c>
      <c r="G212" s="7">
        <v>7420794.2799999993</v>
      </c>
      <c r="H212" s="7">
        <f t="shared" si="1"/>
        <v>1855198.5699999998</v>
      </c>
      <c r="I212" s="8">
        <v>45241</v>
      </c>
      <c r="J212" s="6" t="s">
        <v>27</v>
      </c>
    </row>
    <row r="213" spans="1:10" x14ac:dyDescent="0.25">
      <c r="A213" s="6" t="s">
        <v>237</v>
      </c>
      <c r="B213" s="6" t="s">
        <v>43</v>
      </c>
      <c r="C213" s="6" t="s">
        <v>45</v>
      </c>
      <c r="D213" s="5">
        <v>47</v>
      </c>
      <c r="E213" s="7">
        <f t="shared" si="0"/>
        <v>215422.11</v>
      </c>
      <c r="F213" s="7">
        <v>287229.48</v>
      </c>
      <c r="G213" s="7">
        <v>13499785.559999999</v>
      </c>
      <c r="H213" s="7">
        <f t="shared" si="1"/>
        <v>3374946.3899999997</v>
      </c>
      <c r="I213" s="8">
        <v>45505</v>
      </c>
      <c r="J213" s="6" t="s">
        <v>17</v>
      </c>
    </row>
    <row r="214" spans="1:10" x14ac:dyDescent="0.25">
      <c r="A214" s="6" t="s">
        <v>238</v>
      </c>
      <c r="B214" s="6" t="s">
        <v>30</v>
      </c>
      <c r="C214" s="6" t="s">
        <v>16</v>
      </c>
      <c r="D214" s="5">
        <v>92</v>
      </c>
      <c r="E214" s="7">
        <f t="shared" si="0"/>
        <v>107786.61000000002</v>
      </c>
      <c r="F214" s="7">
        <v>143715.48000000001</v>
      </c>
      <c r="G214" s="7">
        <v>13221824.16</v>
      </c>
      <c r="H214" s="7">
        <f t="shared" si="1"/>
        <v>3305456.0399999996</v>
      </c>
      <c r="I214" s="8">
        <v>45517</v>
      </c>
      <c r="J214" s="6" t="s">
        <v>13</v>
      </c>
    </row>
    <row r="215" spans="1:10" x14ac:dyDescent="0.25">
      <c r="A215" s="6" t="s">
        <v>239</v>
      </c>
      <c r="B215" s="6" t="s">
        <v>25</v>
      </c>
      <c r="C215" s="6" t="s">
        <v>66</v>
      </c>
      <c r="D215" s="5">
        <v>47</v>
      </c>
      <c r="E215" s="7">
        <f t="shared" si="0"/>
        <v>102574.58249999999</v>
      </c>
      <c r="F215" s="7">
        <v>136766.10999999999</v>
      </c>
      <c r="G215" s="7">
        <v>6428007.169999999</v>
      </c>
      <c r="H215" s="7">
        <f t="shared" si="1"/>
        <v>1607001.7924999997</v>
      </c>
      <c r="I215" s="8">
        <v>45480</v>
      </c>
      <c r="J215" s="6" t="s">
        <v>17</v>
      </c>
    </row>
    <row r="216" spans="1:10" x14ac:dyDescent="0.25">
      <c r="A216" s="6" t="s">
        <v>240</v>
      </c>
      <c r="B216" s="6" t="s">
        <v>34</v>
      </c>
      <c r="C216" s="6" t="s">
        <v>23</v>
      </c>
      <c r="D216" s="5">
        <v>23</v>
      </c>
      <c r="E216" s="7">
        <f t="shared" si="0"/>
        <v>222492.72749999998</v>
      </c>
      <c r="F216" s="7">
        <v>296656.96999999997</v>
      </c>
      <c r="G216" s="7">
        <v>6823110.3099999996</v>
      </c>
      <c r="H216" s="7">
        <f t="shared" si="1"/>
        <v>1705777.5774999999</v>
      </c>
      <c r="I216" s="8">
        <v>45505</v>
      </c>
      <c r="J216" s="6" t="s">
        <v>13</v>
      </c>
    </row>
    <row r="217" spans="1:10" x14ac:dyDescent="0.25">
      <c r="A217" s="6" t="s">
        <v>241</v>
      </c>
      <c r="B217" s="6" t="s">
        <v>34</v>
      </c>
      <c r="C217" s="6" t="s">
        <v>12</v>
      </c>
      <c r="D217" s="5">
        <v>47</v>
      </c>
      <c r="E217" s="7">
        <f t="shared" si="0"/>
        <v>84300.479999999996</v>
      </c>
      <c r="F217" s="7">
        <v>112400.64</v>
      </c>
      <c r="G217" s="7">
        <v>5282830.08</v>
      </c>
      <c r="H217" s="7">
        <f t="shared" si="1"/>
        <v>1320707.5200000003</v>
      </c>
      <c r="I217" s="8">
        <v>45800</v>
      </c>
      <c r="J217" s="6" t="s">
        <v>13</v>
      </c>
    </row>
    <row r="218" spans="1:10" x14ac:dyDescent="0.25">
      <c r="A218" s="6" t="s">
        <v>242</v>
      </c>
      <c r="B218" s="6" t="s">
        <v>129</v>
      </c>
      <c r="C218" s="6" t="s">
        <v>39</v>
      </c>
      <c r="D218" s="5">
        <v>47</v>
      </c>
      <c r="E218" s="7">
        <f t="shared" si="0"/>
        <v>158048.4375</v>
      </c>
      <c r="F218" s="7">
        <v>210731.25</v>
      </c>
      <c r="G218" s="7">
        <v>9904368.75</v>
      </c>
      <c r="H218" s="7">
        <f t="shared" si="1"/>
        <v>2476092.1875</v>
      </c>
      <c r="I218" s="8">
        <v>45357</v>
      </c>
      <c r="J218" s="6" t="s">
        <v>13</v>
      </c>
    </row>
    <row r="219" spans="1:10" x14ac:dyDescent="0.25">
      <c r="A219" s="6" t="s">
        <v>243</v>
      </c>
      <c r="B219" s="6" t="s">
        <v>21</v>
      </c>
      <c r="C219" s="6" t="s">
        <v>39</v>
      </c>
      <c r="D219" s="5">
        <v>47</v>
      </c>
      <c r="E219" s="7">
        <f t="shared" si="0"/>
        <v>205412.0025</v>
      </c>
      <c r="F219" s="7">
        <v>273882.67</v>
      </c>
      <c r="G219" s="7">
        <v>12872485.489999998</v>
      </c>
      <c r="H219" s="7">
        <f t="shared" si="1"/>
        <v>3218121.3724999991</v>
      </c>
      <c r="I219" s="8">
        <v>45504</v>
      </c>
      <c r="J219" s="6" t="s">
        <v>17</v>
      </c>
    </row>
    <row r="220" spans="1:10" x14ac:dyDescent="0.25">
      <c r="A220" s="6" t="s">
        <v>244</v>
      </c>
      <c r="B220" s="6" t="s">
        <v>129</v>
      </c>
      <c r="C220" s="6" t="s">
        <v>54</v>
      </c>
      <c r="D220" s="5">
        <v>79</v>
      </c>
      <c r="E220" s="7">
        <f t="shared" si="0"/>
        <v>170494.86000000002</v>
      </c>
      <c r="F220" s="7">
        <v>227326.48</v>
      </c>
      <c r="G220" s="7">
        <v>17958791.920000002</v>
      </c>
      <c r="H220" s="7">
        <f t="shared" si="1"/>
        <v>4489697.9799999995</v>
      </c>
      <c r="I220" s="8">
        <v>45136</v>
      </c>
      <c r="J220" s="6" t="s">
        <v>13</v>
      </c>
    </row>
    <row r="221" spans="1:10" x14ac:dyDescent="0.25">
      <c r="A221" s="6" t="s">
        <v>245</v>
      </c>
      <c r="B221" s="6" t="s">
        <v>36</v>
      </c>
      <c r="C221" s="6" t="s">
        <v>12</v>
      </c>
      <c r="D221" s="5">
        <v>47</v>
      </c>
      <c r="E221" s="7">
        <f t="shared" si="0"/>
        <v>180523.125</v>
      </c>
      <c r="F221" s="7">
        <v>240697.5</v>
      </c>
      <c r="G221" s="7">
        <v>11312782.5</v>
      </c>
      <c r="H221" s="7">
        <f t="shared" si="1"/>
        <v>2828195.625</v>
      </c>
      <c r="I221" s="8">
        <v>45187</v>
      </c>
      <c r="J221" s="6" t="s">
        <v>40</v>
      </c>
    </row>
    <row r="222" spans="1:10" x14ac:dyDescent="0.25">
      <c r="A222" s="6" t="s">
        <v>246</v>
      </c>
      <c r="B222" s="6" t="s">
        <v>43</v>
      </c>
      <c r="C222" s="6" t="s">
        <v>39</v>
      </c>
      <c r="D222" s="5">
        <v>47</v>
      </c>
      <c r="E222" s="7">
        <f t="shared" si="0"/>
        <v>118416.93</v>
      </c>
      <c r="F222" s="7">
        <v>157889.24</v>
      </c>
      <c r="G222" s="7">
        <v>7420794.2799999993</v>
      </c>
      <c r="H222" s="7">
        <f t="shared" si="1"/>
        <v>1855198.5699999998</v>
      </c>
      <c r="I222" s="8">
        <v>45423</v>
      </c>
      <c r="J222" s="6" t="s">
        <v>40</v>
      </c>
    </row>
    <row r="223" spans="1:10" x14ac:dyDescent="0.25">
      <c r="A223" s="5" t="s">
        <v>10</v>
      </c>
      <c r="B223" s="6" t="s">
        <v>11</v>
      </c>
      <c r="C223" s="6" t="s">
        <v>66</v>
      </c>
      <c r="D223" s="5">
        <v>47</v>
      </c>
      <c r="E223" s="7">
        <f t="shared" si="0"/>
        <v>185826.1875</v>
      </c>
      <c r="F223" s="7">
        <v>247768.25</v>
      </c>
      <c r="G223" s="7">
        <v>11645107.75</v>
      </c>
      <c r="H223" s="7">
        <f t="shared" si="1"/>
        <v>2911276.9375</v>
      </c>
      <c r="I223" s="8">
        <v>45510</v>
      </c>
      <c r="J223" s="5" t="s">
        <v>10</v>
      </c>
    </row>
    <row r="224" spans="1:10" x14ac:dyDescent="0.25">
      <c r="A224" s="6" t="s">
        <v>247</v>
      </c>
      <c r="B224" s="6" t="s">
        <v>11</v>
      </c>
      <c r="C224" s="6" t="s">
        <v>16</v>
      </c>
      <c r="D224" s="5">
        <v>47</v>
      </c>
      <c r="E224" s="7">
        <f t="shared" si="0"/>
        <v>171507.72</v>
      </c>
      <c r="F224" s="7">
        <v>228676.96</v>
      </c>
      <c r="G224" s="7">
        <v>10747817.119999999</v>
      </c>
      <c r="H224" s="7">
        <f t="shared" si="1"/>
        <v>2686954.2799999993</v>
      </c>
      <c r="I224" s="8">
        <v>45473</v>
      </c>
      <c r="J224" s="6" t="s">
        <v>40</v>
      </c>
    </row>
    <row r="225" spans="1:10" x14ac:dyDescent="0.25">
      <c r="A225" s="6" t="s">
        <v>248</v>
      </c>
      <c r="B225" s="6" t="s">
        <v>36</v>
      </c>
      <c r="C225" s="6" t="s">
        <v>16</v>
      </c>
      <c r="D225" s="5">
        <v>47</v>
      </c>
      <c r="E225" s="7">
        <f t="shared" si="0"/>
        <v>153196.8075</v>
      </c>
      <c r="F225" s="7">
        <v>204262.41</v>
      </c>
      <c r="G225" s="7">
        <v>9600333.2699999996</v>
      </c>
      <c r="H225" s="7">
        <f t="shared" si="1"/>
        <v>2400083.3175000004</v>
      </c>
      <c r="I225" s="8">
        <v>45304</v>
      </c>
      <c r="J225" s="5" t="s">
        <v>10</v>
      </c>
    </row>
    <row r="226" spans="1:10" x14ac:dyDescent="0.25">
      <c r="A226" s="6" t="s">
        <v>249</v>
      </c>
      <c r="B226" s="6" t="s">
        <v>76</v>
      </c>
      <c r="C226" s="6" t="s">
        <v>23</v>
      </c>
      <c r="D226" s="5">
        <v>47</v>
      </c>
      <c r="E226" s="7">
        <f t="shared" si="0"/>
        <v>134209.82250000001</v>
      </c>
      <c r="F226" s="7">
        <v>178946.43</v>
      </c>
      <c r="G226" s="7">
        <v>8410482.209999999</v>
      </c>
      <c r="H226" s="7">
        <f t="shared" si="1"/>
        <v>2102620.5524999993</v>
      </c>
      <c r="I226" s="8">
        <v>45285</v>
      </c>
      <c r="J226" s="6" t="s">
        <v>40</v>
      </c>
    </row>
    <row r="227" spans="1:10" x14ac:dyDescent="0.25">
      <c r="A227" s="6" t="s">
        <v>250</v>
      </c>
      <c r="B227" s="6" t="s">
        <v>36</v>
      </c>
      <c r="C227" s="6" t="s">
        <v>39</v>
      </c>
      <c r="D227" s="5">
        <v>47</v>
      </c>
      <c r="E227" s="7">
        <f t="shared" si="0"/>
        <v>177238.13999999998</v>
      </c>
      <c r="F227" s="7">
        <v>236317.52</v>
      </c>
      <c r="G227" s="7">
        <v>11106923.439999999</v>
      </c>
      <c r="H227" s="7">
        <f t="shared" si="1"/>
        <v>2776730.8600000003</v>
      </c>
      <c r="I227" s="8">
        <v>45571</v>
      </c>
      <c r="J227" s="6" t="s">
        <v>17</v>
      </c>
    </row>
    <row r="228" spans="1:10" x14ac:dyDescent="0.25">
      <c r="A228" s="6" t="s">
        <v>251</v>
      </c>
      <c r="B228" s="6" t="s">
        <v>36</v>
      </c>
      <c r="C228" s="6" t="s">
        <v>26</v>
      </c>
      <c r="D228" s="5">
        <v>47</v>
      </c>
      <c r="E228" s="7">
        <f t="shared" si="0"/>
        <v>118416.93</v>
      </c>
      <c r="F228" s="7">
        <v>157889.24</v>
      </c>
      <c r="G228" s="7">
        <v>7420794.2799999993</v>
      </c>
      <c r="H228" s="7">
        <f t="shared" si="1"/>
        <v>1855198.5699999998</v>
      </c>
      <c r="I228" s="8">
        <v>45392</v>
      </c>
      <c r="J228" s="5" t="s">
        <v>10</v>
      </c>
    </row>
    <row r="229" spans="1:10" x14ac:dyDescent="0.25">
      <c r="A229" s="6" t="s">
        <v>252</v>
      </c>
      <c r="B229" s="6" t="s">
        <v>58</v>
      </c>
      <c r="C229" s="6" t="s">
        <v>39</v>
      </c>
      <c r="D229" s="5">
        <v>47</v>
      </c>
      <c r="E229" s="7">
        <f t="shared" si="0"/>
        <v>119015.88750000001</v>
      </c>
      <c r="F229" s="7">
        <v>158687.85</v>
      </c>
      <c r="G229" s="7">
        <v>7458328.9500000002</v>
      </c>
      <c r="H229" s="7">
        <f t="shared" si="1"/>
        <v>1864582.2374999998</v>
      </c>
      <c r="I229" s="8">
        <v>45155</v>
      </c>
      <c r="J229" s="6" t="s">
        <v>27</v>
      </c>
    </row>
    <row r="230" spans="1:10" x14ac:dyDescent="0.25">
      <c r="A230" s="6" t="s">
        <v>253</v>
      </c>
      <c r="B230" s="6" t="s">
        <v>38</v>
      </c>
      <c r="C230" s="6" t="s">
        <v>54</v>
      </c>
      <c r="D230" s="5">
        <v>47</v>
      </c>
      <c r="E230" s="7">
        <f t="shared" si="0"/>
        <v>81640.927500000005</v>
      </c>
      <c r="F230" s="7">
        <v>108854.57</v>
      </c>
      <c r="G230" s="7">
        <v>5116164.79</v>
      </c>
      <c r="H230" s="7">
        <f t="shared" si="1"/>
        <v>1279041.1975</v>
      </c>
      <c r="I230" s="8">
        <v>45157</v>
      </c>
      <c r="J230" s="6" t="s">
        <v>27</v>
      </c>
    </row>
    <row r="231" spans="1:10" x14ac:dyDescent="0.25">
      <c r="A231" s="6" t="s">
        <v>254</v>
      </c>
      <c r="B231" s="6" t="s">
        <v>11</v>
      </c>
      <c r="C231" s="6" t="s">
        <v>26</v>
      </c>
      <c r="D231" s="5">
        <v>47</v>
      </c>
      <c r="E231" s="7">
        <f t="shared" si="0"/>
        <v>206411.09249999997</v>
      </c>
      <c r="F231" s="7">
        <v>275214.78999999998</v>
      </c>
      <c r="G231" s="7">
        <v>12935095.129999999</v>
      </c>
      <c r="H231" s="7">
        <f t="shared" si="1"/>
        <v>3233773.7825000007</v>
      </c>
      <c r="I231" s="8">
        <v>45336</v>
      </c>
      <c r="J231" s="6" t="s">
        <v>40</v>
      </c>
    </row>
    <row r="232" spans="1:10" x14ac:dyDescent="0.25">
      <c r="A232" s="6" t="s">
        <v>255</v>
      </c>
      <c r="B232" s="6" t="s">
        <v>38</v>
      </c>
      <c r="C232" s="6" t="s">
        <v>54</v>
      </c>
      <c r="D232" s="5">
        <v>78</v>
      </c>
      <c r="E232" s="7">
        <f t="shared" si="0"/>
        <v>118416.93</v>
      </c>
      <c r="F232" s="7">
        <v>157889.24</v>
      </c>
      <c r="G232" s="7">
        <v>12315360.719999999</v>
      </c>
      <c r="H232" s="7">
        <f t="shared" si="1"/>
        <v>3078840.1799999997</v>
      </c>
      <c r="I232" s="8">
        <v>45502</v>
      </c>
      <c r="J232" s="6" t="s">
        <v>27</v>
      </c>
    </row>
    <row r="233" spans="1:10" x14ac:dyDescent="0.25">
      <c r="A233" s="6" t="s">
        <v>256</v>
      </c>
      <c r="B233" s="6" t="s">
        <v>74</v>
      </c>
      <c r="C233" s="6" t="s">
        <v>12</v>
      </c>
      <c r="D233" s="5">
        <v>43</v>
      </c>
      <c r="E233" s="7">
        <f t="shared" si="0"/>
        <v>25579.897499999999</v>
      </c>
      <c r="F233" s="7">
        <v>34106.53</v>
      </c>
      <c r="G233" s="7">
        <v>1466580.79</v>
      </c>
      <c r="H233" s="7">
        <f t="shared" si="1"/>
        <v>366645.19750000001</v>
      </c>
      <c r="I233" s="8">
        <v>45582</v>
      </c>
      <c r="J233" s="6" t="s">
        <v>40</v>
      </c>
    </row>
    <row r="234" spans="1:10" x14ac:dyDescent="0.25">
      <c r="A234" s="6" t="s">
        <v>257</v>
      </c>
      <c r="B234" s="6" t="s">
        <v>65</v>
      </c>
      <c r="C234" s="6" t="s">
        <v>12</v>
      </c>
      <c r="D234" s="5">
        <v>47</v>
      </c>
      <c r="E234" s="7">
        <f t="shared" si="0"/>
        <v>186538.3725</v>
      </c>
      <c r="F234" s="7">
        <v>248717.83</v>
      </c>
      <c r="G234" s="7">
        <v>11689738.01</v>
      </c>
      <c r="H234" s="7">
        <f t="shared" si="1"/>
        <v>2922434.5024999995</v>
      </c>
      <c r="I234" s="8">
        <v>45803</v>
      </c>
      <c r="J234" s="6" t="s">
        <v>40</v>
      </c>
    </row>
    <row r="235" spans="1:10" x14ac:dyDescent="0.25">
      <c r="A235" s="6" t="s">
        <v>258</v>
      </c>
      <c r="B235" s="6" t="s">
        <v>11</v>
      </c>
      <c r="C235" s="6" t="s">
        <v>23</v>
      </c>
      <c r="D235" s="5">
        <v>47</v>
      </c>
      <c r="E235" s="7">
        <f t="shared" si="0"/>
        <v>203186.25</v>
      </c>
      <c r="F235" s="7">
        <v>270915</v>
      </c>
      <c r="G235" s="7">
        <v>12733005</v>
      </c>
      <c r="H235" s="7">
        <f t="shared" si="1"/>
        <v>3183251.25</v>
      </c>
      <c r="I235" s="8">
        <v>45772</v>
      </c>
      <c r="J235" s="6" t="s">
        <v>27</v>
      </c>
    </row>
    <row r="236" spans="1:10" x14ac:dyDescent="0.25">
      <c r="A236" s="5" t="s">
        <v>10</v>
      </c>
      <c r="B236" s="6" t="s">
        <v>21</v>
      </c>
      <c r="C236" s="6" t="s">
        <v>54</v>
      </c>
      <c r="D236" s="5">
        <v>47</v>
      </c>
      <c r="E236" s="7">
        <f t="shared" si="0"/>
        <v>45784.47</v>
      </c>
      <c r="F236" s="7">
        <v>61045.96</v>
      </c>
      <c r="G236" s="7">
        <v>2869160.12</v>
      </c>
      <c r="H236" s="7">
        <f t="shared" si="1"/>
        <v>717290.02999999991</v>
      </c>
      <c r="I236" s="8">
        <v>45626</v>
      </c>
      <c r="J236" s="6" t="s">
        <v>27</v>
      </c>
    </row>
    <row r="237" spans="1:10" x14ac:dyDescent="0.25">
      <c r="A237" s="6" t="s">
        <v>259</v>
      </c>
      <c r="B237" s="6" t="s">
        <v>43</v>
      </c>
      <c r="C237" s="6" t="s">
        <v>23</v>
      </c>
      <c r="D237" s="5">
        <v>47</v>
      </c>
      <c r="E237" s="7">
        <f t="shared" si="0"/>
        <v>120922.29000000001</v>
      </c>
      <c r="F237" s="7">
        <v>161229.72</v>
      </c>
      <c r="G237" s="7">
        <v>7577796.8399999999</v>
      </c>
      <c r="H237" s="7">
        <f t="shared" si="1"/>
        <v>1894449.2099999997</v>
      </c>
      <c r="I237" s="8">
        <v>45640</v>
      </c>
      <c r="J237" s="6" t="s">
        <v>13</v>
      </c>
    </row>
    <row r="238" spans="1:10" x14ac:dyDescent="0.25">
      <c r="A238" s="6" t="s">
        <v>260</v>
      </c>
      <c r="B238" s="6" t="s">
        <v>43</v>
      </c>
      <c r="C238" s="6" t="s">
        <v>66</v>
      </c>
      <c r="D238" s="5">
        <v>51</v>
      </c>
      <c r="E238" s="7">
        <f t="shared" si="0"/>
        <v>37334.159999999996</v>
      </c>
      <c r="F238" s="7">
        <v>49778.879999999997</v>
      </c>
      <c r="G238" s="7">
        <v>2538722.88</v>
      </c>
      <c r="H238" s="7">
        <f t="shared" si="1"/>
        <v>634680.72000000009</v>
      </c>
      <c r="I238" s="8">
        <v>45483</v>
      </c>
      <c r="J238" s="5" t="s">
        <v>10</v>
      </c>
    </row>
    <row r="239" spans="1:10" x14ac:dyDescent="0.25">
      <c r="A239" s="6" t="s">
        <v>261</v>
      </c>
      <c r="B239" s="6" t="s">
        <v>30</v>
      </c>
      <c r="C239" s="6" t="s">
        <v>39</v>
      </c>
      <c r="D239" s="5">
        <v>47</v>
      </c>
      <c r="E239" s="7">
        <f t="shared" si="0"/>
        <v>192313.91999999998</v>
      </c>
      <c r="F239" s="7">
        <v>256418.56</v>
      </c>
      <c r="G239" s="7">
        <v>12051672.32</v>
      </c>
      <c r="H239" s="7">
        <f t="shared" si="1"/>
        <v>3012918.0800000005</v>
      </c>
      <c r="I239" s="8">
        <v>45339</v>
      </c>
      <c r="J239" s="6" t="s">
        <v>40</v>
      </c>
    </row>
    <row r="240" spans="1:10" x14ac:dyDescent="0.25">
      <c r="A240" s="6" t="s">
        <v>262</v>
      </c>
      <c r="B240" s="6" t="s">
        <v>58</v>
      </c>
      <c r="C240" s="6" t="s">
        <v>26</v>
      </c>
      <c r="D240" s="5">
        <v>47</v>
      </c>
      <c r="E240" s="7">
        <f t="shared" si="0"/>
        <v>99623.4375</v>
      </c>
      <c r="F240" s="7">
        <v>132831.25</v>
      </c>
      <c r="G240" s="7">
        <v>6243068.75</v>
      </c>
      <c r="H240" s="7">
        <f t="shared" si="1"/>
        <v>1560767.1875</v>
      </c>
      <c r="I240" s="8">
        <v>45534</v>
      </c>
      <c r="J240" s="6" t="s">
        <v>27</v>
      </c>
    </row>
    <row r="241" spans="1:10" x14ac:dyDescent="0.25">
      <c r="A241" s="6" t="s">
        <v>263</v>
      </c>
      <c r="B241" s="6" t="s">
        <v>25</v>
      </c>
      <c r="C241" s="6" t="s">
        <v>26</v>
      </c>
      <c r="D241" s="5">
        <v>47</v>
      </c>
      <c r="E241" s="7">
        <f t="shared" si="0"/>
        <v>153186.315</v>
      </c>
      <c r="F241" s="7">
        <v>204248.42</v>
      </c>
      <c r="G241" s="7">
        <v>9599675.7400000002</v>
      </c>
      <c r="H241" s="7">
        <f t="shared" si="1"/>
        <v>2399918.9350000005</v>
      </c>
      <c r="I241" s="8">
        <v>45124</v>
      </c>
      <c r="J241" s="5" t="s">
        <v>10</v>
      </c>
    </row>
    <row r="242" spans="1:10" x14ac:dyDescent="0.25">
      <c r="A242" s="6" t="s">
        <v>264</v>
      </c>
      <c r="B242" s="6" t="s">
        <v>36</v>
      </c>
      <c r="C242" s="6" t="s">
        <v>23</v>
      </c>
      <c r="D242" s="5">
        <v>47</v>
      </c>
      <c r="E242" s="7">
        <f t="shared" si="0"/>
        <v>118416.93</v>
      </c>
      <c r="F242" s="7">
        <v>157889.24</v>
      </c>
      <c r="G242" s="7">
        <v>7420794.2799999993</v>
      </c>
      <c r="H242" s="7">
        <f t="shared" si="1"/>
        <v>1855198.5699999998</v>
      </c>
      <c r="I242" s="8">
        <v>45776</v>
      </c>
      <c r="J242" s="6" t="s">
        <v>27</v>
      </c>
    </row>
    <row r="243" spans="1:10" x14ac:dyDescent="0.25">
      <c r="A243" s="6" t="s">
        <v>265</v>
      </c>
      <c r="B243" s="6" t="s">
        <v>62</v>
      </c>
      <c r="C243" s="6" t="s">
        <v>39</v>
      </c>
      <c r="D243" s="5">
        <v>47</v>
      </c>
      <c r="E243" s="7">
        <f t="shared" si="0"/>
        <v>161412.69750000001</v>
      </c>
      <c r="F243" s="7">
        <v>215216.93</v>
      </c>
      <c r="G243" s="7">
        <v>10115195.709999999</v>
      </c>
      <c r="H243" s="7">
        <f t="shared" si="1"/>
        <v>2528798.9274999993</v>
      </c>
      <c r="I243" s="8">
        <v>45201</v>
      </c>
      <c r="J243" s="6" t="s">
        <v>27</v>
      </c>
    </row>
    <row r="244" spans="1:10" x14ac:dyDescent="0.25">
      <c r="A244" s="6" t="s">
        <v>266</v>
      </c>
      <c r="B244" s="6" t="s">
        <v>19</v>
      </c>
      <c r="C244" s="6" t="s">
        <v>16</v>
      </c>
      <c r="D244" s="5">
        <v>47</v>
      </c>
      <c r="E244" s="7">
        <f t="shared" si="0"/>
        <v>110177.98500000002</v>
      </c>
      <c r="F244" s="7">
        <v>146903.98000000001</v>
      </c>
      <c r="G244" s="7">
        <v>6904487.0600000005</v>
      </c>
      <c r="H244" s="7">
        <f t="shared" si="1"/>
        <v>1726121.7649999997</v>
      </c>
      <c r="I244" s="8">
        <v>45452</v>
      </c>
      <c r="J244" s="6" t="s">
        <v>13</v>
      </c>
    </row>
    <row r="245" spans="1:10" x14ac:dyDescent="0.25">
      <c r="A245" s="6" t="s">
        <v>267</v>
      </c>
      <c r="B245" s="6" t="s">
        <v>58</v>
      </c>
      <c r="C245" s="6" t="s">
        <v>26</v>
      </c>
      <c r="D245" s="5">
        <v>47</v>
      </c>
      <c r="E245" s="7">
        <f t="shared" si="0"/>
        <v>202288.02</v>
      </c>
      <c r="F245" s="7">
        <v>269717.36</v>
      </c>
      <c r="G245" s="7">
        <v>12676715.92</v>
      </c>
      <c r="H245" s="7">
        <f t="shared" si="1"/>
        <v>3169178.98</v>
      </c>
      <c r="I245" s="8">
        <v>45222</v>
      </c>
      <c r="J245" s="6" t="s">
        <v>40</v>
      </c>
    </row>
    <row r="246" spans="1:10" x14ac:dyDescent="0.25">
      <c r="A246" s="6" t="s">
        <v>268</v>
      </c>
      <c r="B246" s="6" t="s">
        <v>21</v>
      </c>
      <c r="C246" s="6" t="s">
        <v>16</v>
      </c>
      <c r="D246" s="5">
        <v>47</v>
      </c>
      <c r="E246" s="7">
        <f t="shared" si="0"/>
        <v>100441.55250000001</v>
      </c>
      <c r="F246" s="7">
        <v>133922.07</v>
      </c>
      <c r="G246" s="7">
        <v>6294337.29</v>
      </c>
      <c r="H246" s="7">
        <f t="shared" si="1"/>
        <v>1573584.3225</v>
      </c>
      <c r="I246" s="8">
        <v>45803</v>
      </c>
      <c r="J246" s="6" t="s">
        <v>40</v>
      </c>
    </row>
    <row r="247" spans="1:10" x14ac:dyDescent="0.25">
      <c r="A247" s="6" t="s">
        <v>269</v>
      </c>
      <c r="B247" s="6" t="s">
        <v>32</v>
      </c>
      <c r="C247" s="6" t="s">
        <v>39</v>
      </c>
      <c r="D247" s="5">
        <v>47</v>
      </c>
      <c r="E247" s="7">
        <f t="shared" si="0"/>
        <v>12872.189999999999</v>
      </c>
      <c r="F247" s="7">
        <v>17162.919999999998</v>
      </c>
      <c r="G247" s="7">
        <v>806657.23999999987</v>
      </c>
      <c r="H247" s="7">
        <f t="shared" si="1"/>
        <v>201664.30999999997</v>
      </c>
      <c r="I247" s="8">
        <v>45323</v>
      </c>
      <c r="J247" s="6" t="s">
        <v>17</v>
      </c>
    </row>
    <row r="248" spans="1:10" x14ac:dyDescent="0.25">
      <c r="A248" s="6" t="s">
        <v>270</v>
      </c>
      <c r="B248" s="6" t="s">
        <v>58</v>
      </c>
      <c r="C248" s="6" t="s">
        <v>16</v>
      </c>
      <c r="D248" s="5">
        <v>47</v>
      </c>
      <c r="E248" s="7">
        <f t="shared" si="0"/>
        <v>30012.997500000001</v>
      </c>
      <c r="F248" s="7">
        <v>40017.33</v>
      </c>
      <c r="G248" s="7">
        <v>1880814.51</v>
      </c>
      <c r="H248" s="7">
        <f t="shared" si="1"/>
        <v>470203.6275</v>
      </c>
      <c r="I248" s="8">
        <v>45683</v>
      </c>
      <c r="J248" s="6" t="s">
        <v>13</v>
      </c>
    </row>
    <row r="249" spans="1:10" x14ac:dyDescent="0.25">
      <c r="A249" s="5" t="s">
        <v>10</v>
      </c>
      <c r="B249" s="6" t="s">
        <v>30</v>
      </c>
      <c r="C249" s="6" t="s">
        <v>66</v>
      </c>
      <c r="D249" s="5">
        <v>47</v>
      </c>
      <c r="E249" s="7">
        <f t="shared" si="0"/>
        <v>93689.744999999995</v>
      </c>
      <c r="F249" s="7">
        <v>124919.66</v>
      </c>
      <c r="G249" s="7">
        <v>5871224.0200000005</v>
      </c>
      <c r="H249" s="7">
        <f t="shared" si="1"/>
        <v>1467806.0050000004</v>
      </c>
      <c r="I249" s="8">
        <v>45402</v>
      </c>
      <c r="J249" s="5" t="s">
        <v>10</v>
      </c>
    </row>
    <row r="250" spans="1:10" x14ac:dyDescent="0.25">
      <c r="A250" s="6" t="s">
        <v>271</v>
      </c>
      <c r="B250" s="6" t="s">
        <v>11</v>
      </c>
      <c r="C250" s="6" t="s">
        <v>54</v>
      </c>
      <c r="D250" s="5">
        <v>40</v>
      </c>
      <c r="E250" s="7">
        <f t="shared" si="0"/>
        <v>127043.54999999999</v>
      </c>
      <c r="F250" s="7">
        <v>169391.4</v>
      </c>
      <c r="G250" s="7">
        <v>6775656</v>
      </c>
      <c r="H250" s="7">
        <f t="shared" si="1"/>
        <v>1693914.0000000002</v>
      </c>
      <c r="I250" s="8">
        <v>45711</v>
      </c>
      <c r="J250" s="6" t="s">
        <v>13</v>
      </c>
    </row>
    <row r="251" spans="1:10" x14ac:dyDescent="0.25">
      <c r="A251" s="6" t="s">
        <v>272</v>
      </c>
      <c r="B251" s="6" t="s">
        <v>38</v>
      </c>
      <c r="C251" s="6" t="s">
        <v>12</v>
      </c>
      <c r="D251" s="5">
        <v>47</v>
      </c>
      <c r="E251" s="7">
        <f t="shared" si="0"/>
        <v>125894.82</v>
      </c>
      <c r="F251" s="7">
        <v>167859.76</v>
      </c>
      <c r="G251" s="7">
        <v>7889408.7200000007</v>
      </c>
      <c r="H251" s="7">
        <f t="shared" si="1"/>
        <v>1972352.1800000002</v>
      </c>
      <c r="I251" s="8">
        <v>45431</v>
      </c>
      <c r="J251" s="5" t="s">
        <v>10</v>
      </c>
    </row>
    <row r="252" spans="1:10" x14ac:dyDescent="0.25">
      <c r="A252" s="6" t="s">
        <v>273</v>
      </c>
      <c r="B252" s="6" t="s">
        <v>30</v>
      </c>
      <c r="C252" s="6" t="s">
        <v>12</v>
      </c>
      <c r="D252" s="5">
        <v>47</v>
      </c>
      <c r="E252" s="7">
        <f t="shared" si="0"/>
        <v>118416.93</v>
      </c>
      <c r="F252" s="7">
        <v>157889.24</v>
      </c>
      <c r="G252" s="7">
        <v>7420794.2799999993</v>
      </c>
      <c r="H252" s="7">
        <f t="shared" si="1"/>
        <v>1855198.5699999998</v>
      </c>
      <c r="I252" s="8">
        <v>45402</v>
      </c>
      <c r="J252" s="6" t="s">
        <v>40</v>
      </c>
    </row>
    <row r="253" spans="1:10" x14ac:dyDescent="0.25">
      <c r="A253" s="6" t="s">
        <v>274</v>
      </c>
      <c r="B253" s="6" t="s">
        <v>15</v>
      </c>
      <c r="C253" s="6" t="s">
        <v>23</v>
      </c>
      <c r="D253" s="5">
        <v>25</v>
      </c>
      <c r="E253" s="7">
        <f t="shared" si="0"/>
        <v>151495.44750000001</v>
      </c>
      <c r="F253" s="7">
        <v>201993.93</v>
      </c>
      <c r="G253" s="7">
        <v>5049848.25</v>
      </c>
      <c r="H253" s="7">
        <f t="shared" si="1"/>
        <v>1262462.0624999995</v>
      </c>
      <c r="I253" s="8">
        <v>45153</v>
      </c>
      <c r="J253" s="6" t="s">
        <v>17</v>
      </c>
    </row>
    <row r="254" spans="1:10" x14ac:dyDescent="0.25">
      <c r="A254" s="6" t="s">
        <v>275</v>
      </c>
      <c r="B254" s="6" t="s">
        <v>32</v>
      </c>
      <c r="C254" s="6" t="s">
        <v>66</v>
      </c>
      <c r="D254" s="5">
        <v>18</v>
      </c>
      <c r="E254" s="7">
        <f t="shared" si="0"/>
        <v>69597.584999999992</v>
      </c>
      <c r="F254" s="7">
        <v>92796.78</v>
      </c>
      <c r="G254" s="7">
        <v>1670342.04</v>
      </c>
      <c r="H254" s="7">
        <f t="shared" si="1"/>
        <v>417585.51000000013</v>
      </c>
      <c r="I254" s="8">
        <v>45429</v>
      </c>
      <c r="J254" s="6" t="s">
        <v>17</v>
      </c>
    </row>
    <row r="255" spans="1:10" x14ac:dyDescent="0.25">
      <c r="A255" s="6" t="s">
        <v>276</v>
      </c>
      <c r="B255" s="6" t="s">
        <v>21</v>
      </c>
      <c r="C255" s="6" t="s">
        <v>26</v>
      </c>
      <c r="D255" s="5">
        <v>47</v>
      </c>
      <c r="E255" s="7">
        <f t="shared" si="0"/>
        <v>5265.1875</v>
      </c>
      <c r="F255" s="7">
        <v>7020.25</v>
      </c>
      <c r="G255" s="7">
        <v>329951.75</v>
      </c>
      <c r="H255" s="7">
        <f t="shared" si="1"/>
        <v>82487.9375</v>
      </c>
      <c r="I255" s="8">
        <v>45157</v>
      </c>
      <c r="J255" s="6" t="s">
        <v>40</v>
      </c>
    </row>
    <row r="256" spans="1:10" x14ac:dyDescent="0.25">
      <c r="A256" s="6" t="s">
        <v>277</v>
      </c>
      <c r="B256" s="6" t="s">
        <v>62</v>
      </c>
      <c r="C256" s="6" t="s">
        <v>23</v>
      </c>
      <c r="D256" s="5">
        <v>47</v>
      </c>
      <c r="E256" s="7">
        <f t="shared" si="0"/>
        <v>57532.455000000002</v>
      </c>
      <c r="F256" s="7">
        <v>76709.94</v>
      </c>
      <c r="G256" s="7">
        <v>3605367.18</v>
      </c>
      <c r="H256" s="7">
        <f t="shared" si="1"/>
        <v>901341.79500000004</v>
      </c>
      <c r="I256" s="8">
        <v>45560</v>
      </c>
      <c r="J256" s="6" t="s">
        <v>27</v>
      </c>
    </row>
    <row r="257" spans="1:10" x14ac:dyDescent="0.25">
      <c r="A257" s="6" t="s">
        <v>278</v>
      </c>
      <c r="B257" s="6" t="s">
        <v>36</v>
      </c>
      <c r="C257" s="6" t="s">
        <v>23</v>
      </c>
      <c r="D257" s="5">
        <v>47</v>
      </c>
      <c r="E257" s="7">
        <f t="shared" si="0"/>
        <v>1052.3475000000001</v>
      </c>
      <c r="F257" s="7">
        <v>1403.13</v>
      </c>
      <c r="G257" s="7">
        <v>65947.11</v>
      </c>
      <c r="H257" s="7">
        <f t="shared" si="1"/>
        <v>16486.7775</v>
      </c>
      <c r="I257" s="8">
        <v>45554</v>
      </c>
      <c r="J257" s="6" t="s">
        <v>13</v>
      </c>
    </row>
    <row r="258" spans="1:10" x14ac:dyDescent="0.25">
      <c r="A258" s="6" t="s">
        <v>279</v>
      </c>
      <c r="B258" s="6" t="s">
        <v>129</v>
      </c>
      <c r="C258" s="6" t="s">
        <v>12</v>
      </c>
      <c r="D258" s="5">
        <v>47</v>
      </c>
      <c r="E258" s="7">
        <f t="shared" si="0"/>
        <v>49321.08</v>
      </c>
      <c r="F258" s="7">
        <v>65761.440000000002</v>
      </c>
      <c r="G258" s="7">
        <v>3090787.68</v>
      </c>
      <c r="H258" s="7">
        <f t="shared" si="1"/>
        <v>772696.92</v>
      </c>
      <c r="I258" s="8">
        <v>45269</v>
      </c>
      <c r="J258" s="6" t="s">
        <v>17</v>
      </c>
    </row>
    <row r="259" spans="1:10" x14ac:dyDescent="0.25">
      <c r="A259" s="6" t="s">
        <v>280</v>
      </c>
      <c r="B259" s="6" t="s">
        <v>129</v>
      </c>
      <c r="C259" s="6" t="s">
        <v>39</v>
      </c>
      <c r="D259" s="5">
        <v>47</v>
      </c>
      <c r="E259" s="7">
        <f t="shared" si="0"/>
        <v>16779.255000000001</v>
      </c>
      <c r="F259" s="7">
        <v>22372.34</v>
      </c>
      <c r="G259" s="7">
        <v>1051499.98</v>
      </c>
      <c r="H259" s="7">
        <f t="shared" si="1"/>
        <v>262874.99499999994</v>
      </c>
      <c r="I259" s="8">
        <v>45399</v>
      </c>
      <c r="J259" s="6" t="s">
        <v>27</v>
      </c>
    </row>
    <row r="260" spans="1:10" x14ac:dyDescent="0.25">
      <c r="A260" s="6" t="s">
        <v>281</v>
      </c>
      <c r="B260" s="6" t="s">
        <v>43</v>
      </c>
      <c r="C260" s="6" t="s">
        <v>26</v>
      </c>
      <c r="D260" s="5">
        <v>47</v>
      </c>
      <c r="E260" s="7">
        <f t="shared" si="0"/>
        <v>95548.027499999997</v>
      </c>
      <c r="F260" s="7">
        <v>127397.37</v>
      </c>
      <c r="G260" s="7">
        <v>5987676.3899999997</v>
      </c>
      <c r="H260" s="7">
        <f t="shared" si="1"/>
        <v>1496919.0974999999</v>
      </c>
      <c r="I260" s="8">
        <v>45547</v>
      </c>
      <c r="J260" s="5" t="s">
        <v>10</v>
      </c>
    </row>
    <row r="261" spans="1:10" x14ac:dyDescent="0.25">
      <c r="A261" s="6" t="s">
        <v>282</v>
      </c>
      <c r="B261" s="6" t="s">
        <v>74</v>
      </c>
      <c r="C261" s="6" t="s">
        <v>23</v>
      </c>
      <c r="D261" s="5">
        <v>47</v>
      </c>
      <c r="E261" s="7">
        <f t="shared" si="0"/>
        <v>157698.95249999998</v>
      </c>
      <c r="F261" s="7">
        <v>210265.27</v>
      </c>
      <c r="G261" s="7">
        <v>9882467.6899999995</v>
      </c>
      <c r="H261" s="7">
        <f t="shared" si="1"/>
        <v>2470616.9225000003</v>
      </c>
      <c r="I261" s="8">
        <v>45342</v>
      </c>
      <c r="J261" s="6" t="s">
        <v>17</v>
      </c>
    </row>
    <row r="262" spans="1:10" x14ac:dyDescent="0.25">
      <c r="A262" s="5" t="s">
        <v>10</v>
      </c>
      <c r="B262" s="6" t="s">
        <v>38</v>
      </c>
      <c r="C262" s="6" t="s">
        <v>26</v>
      </c>
      <c r="D262" s="5">
        <v>49</v>
      </c>
      <c r="E262" s="7">
        <f t="shared" si="0"/>
        <v>118416.93</v>
      </c>
      <c r="F262" s="7">
        <v>157889.24</v>
      </c>
      <c r="G262" s="7">
        <v>7736572.7599999998</v>
      </c>
      <c r="H262" s="7">
        <f t="shared" si="1"/>
        <v>1934143.19</v>
      </c>
      <c r="I262" s="8">
        <v>45175</v>
      </c>
      <c r="J262" s="5" t="s">
        <v>10</v>
      </c>
    </row>
    <row r="263" spans="1:10" x14ac:dyDescent="0.25">
      <c r="A263" s="6" t="s">
        <v>283</v>
      </c>
      <c r="B263" s="6" t="s">
        <v>62</v>
      </c>
      <c r="C263" s="6" t="s">
        <v>54</v>
      </c>
      <c r="D263" s="5">
        <v>21</v>
      </c>
      <c r="E263" s="7">
        <f t="shared" si="0"/>
        <v>121933.85250000001</v>
      </c>
      <c r="F263" s="7">
        <v>162578.47</v>
      </c>
      <c r="G263" s="7">
        <v>3414147.87</v>
      </c>
      <c r="H263" s="7">
        <f t="shared" si="1"/>
        <v>853536.9674999998</v>
      </c>
      <c r="I263" s="8">
        <v>45418</v>
      </c>
      <c r="J263" s="6" t="s">
        <v>27</v>
      </c>
    </row>
    <row r="264" spans="1:10" x14ac:dyDescent="0.25">
      <c r="A264" s="6" t="s">
        <v>284</v>
      </c>
      <c r="B264" s="6" t="s">
        <v>74</v>
      </c>
      <c r="C264" s="6" t="s">
        <v>39</v>
      </c>
      <c r="D264" s="5">
        <v>47</v>
      </c>
      <c r="E264" s="7">
        <f t="shared" si="0"/>
        <v>13909.920000000002</v>
      </c>
      <c r="F264" s="7">
        <v>18546.560000000001</v>
      </c>
      <c r="G264" s="7">
        <v>871688.32000000007</v>
      </c>
      <c r="H264" s="7">
        <f t="shared" si="1"/>
        <v>217922.07999999996</v>
      </c>
      <c r="I264" s="8">
        <v>45509</v>
      </c>
      <c r="J264" s="5" t="s">
        <v>10</v>
      </c>
    </row>
    <row r="265" spans="1:10" x14ac:dyDescent="0.25">
      <c r="A265" s="6" t="s">
        <v>285</v>
      </c>
      <c r="B265" s="6" t="s">
        <v>15</v>
      </c>
      <c r="C265" s="6" t="s">
        <v>26</v>
      </c>
      <c r="D265" s="5">
        <v>47</v>
      </c>
      <c r="E265" s="7">
        <f t="shared" si="0"/>
        <v>201238.815</v>
      </c>
      <c r="F265" s="7">
        <v>268318.42</v>
      </c>
      <c r="G265" s="7">
        <v>12610965.739999998</v>
      </c>
      <c r="H265" s="7">
        <f t="shared" si="1"/>
        <v>3152741.4349999991</v>
      </c>
      <c r="I265" s="8">
        <v>45467</v>
      </c>
      <c r="J265" s="6" t="s">
        <v>27</v>
      </c>
    </row>
    <row r="266" spans="1:10" x14ac:dyDescent="0.25">
      <c r="A266" s="6" t="s">
        <v>286</v>
      </c>
      <c r="B266" s="6" t="s">
        <v>74</v>
      </c>
      <c r="C266" s="6" t="s">
        <v>16</v>
      </c>
      <c r="D266" s="5">
        <v>57</v>
      </c>
      <c r="E266" s="7">
        <f t="shared" si="0"/>
        <v>221886.08249999999</v>
      </c>
      <c r="F266" s="7">
        <v>295848.11</v>
      </c>
      <c r="G266" s="7">
        <v>16863342.27</v>
      </c>
      <c r="H266" s="7">
        <f t="shared" si="1"/>
        <v>4215835.5674999999</v>
      </c>
      <c r="I266" s="8">
        <v>45711</v>
      </c>
      <c r="J266" s="5" t="s">
        <v>10</v>
      </c>
    </row>
    <row r="267" spans="1:10" x14ac:dyDescent="0.25">
      <c r="A267" s="6" t="s">
        <v>287</v>
      </c>
      <c r="B267" s="6" t="s">
        <v>19</v>
      </c>
      <c r="C267" s="6" t="s">
        <v>23</v>
      </c>
      <c r="D267" s="5">
        <v>47</v>
      </c>
      <c r="E267" s="7">
        <f t="shared" si="0"/>
        <v>106413.99</v>
      </c>
      <c r="F267" s="7">
        <v>141885.32</v>
      </c>
      <c r="G267" s="7">
        <v>6668610.04</v>
      </c>
      <c r="H267" s="7">
        <f t="shared" si="1"/>
        <v>1667152.51</v>
      </c>
      <c r="I267" s="8">
        <v>45545</v>
      </c>
      <c r="J267" s="6" t="s">
        <v>13</v>
      </c>
    </row>
    <row r="268" spans="1:10" x14ac:dyDescent="0.25">
      <c r="A268" s="6" t="s">
        <v>288</v>
      </c>
      <c r="B268" s="6" t="s">
        <v>58</v>
      </c>
      <c r="C268" s="6" t="s">
        <v>16</v>
      </c>
      <c r="D268" s="5">
        <v>47</v>
      </c>
      <c r="E268" s="7">
        <f t="shared" si="0"/>
        <v>64862.752500000002</v>
      </c>
      <c r="F268" s="7">
        <v>86483.67</v>
      </c>
      <c r="G268" s="7">
        <v>4064732.4899999998</v>
      </c>
      <c r="H268" s="7">
        <f t="shared" si="1"/>
        <v>1016183.1224999998</v>
      </c>
      <c r="I268" s="8">
        <v>45335</v>
      </c>
      <c r="J268" s="6" t="s">
        <v>17</v>
      </c>
    </row>
    <row r="269" spans="1:10" x14ac:dyDescent="0.25">
      <c r="A269" s="6" t="s">
        <v>289</v>
      </c>
      <c r="B269" s="6" t="s">
        <v>88</v>
      </c>
      <c r="C269" s="6" t="s">
        <v>39</v>
      </c>
      <c r="D269" s="5">
        <v>47</v>
      </c>
      <c r="E269" s="7">
        <f t="shared" si="0"/>
        <v>40803.307500000003</v>
      </c>
      <c r="F269" s="7">
        <v>54404.41</v>
      </c>
      <c r="G269" s="7">
        <v>2557007.27</v>
      </c>
      <c r="H269" s="7">
        <f t="shared" si="1"/>
        <v>639251.8175</v>
      </c>
      <c r="I269" s="8">
        <v>45759</v>
      </c>
      <c r="J269" s="6" t="s">
        <v>17</v>
      </c>
    </row>
    <row r="270" spans="1:10" x14ac:dyDescent="0.25">
      <c r="A270" s="6" t="s">
        <v>290</v>
      </c>
      <c r="B270" s="6" t="s">
        <v>36</v>
      </c>
      <c r="C270" s="6" t="s">
        <v>66</v>
      </c>
      <c r="D270" s="5">
        <v>47</v>
      </c>
      <c r="E270" s="7">
        <f t="shared" si="0"/>
        <v>30795.712499999998</v>
      </c>
      <c r="F270" s="7">
        <v>41060.949999999997</v>
      </c>
      <c r="G270" s="7">
        <v>1929864.65</v>
      </c>
      <c r="H270" s="7">
        <f t="shared" si="1"/>
        <v>482466.16249999998</v>
      </c>
      <c r="I270" s="8">
        <v>45602</v>
      </c>
      <c r="J270" s="6" t="s">
        <v>27</v>
      </c>
    </row>
    <row r="271" spans="1:10" x14ac:dyDescent="0.25">
      <c r="A271" s="6" t="s">
        <v>291</v>
      </c>
      <c r="B271" s="6" t="s">
        <v>30</v>
      </c>
      <c r="C271" s="6" t="s">
        <v>16</v>
      </c>
      <c r="D271" s="5">
        <v>47</v>
      </c>
      <c r="E271" s="7">
        <f t="shared" si="0"/>
        <v>144477.55499999999</v>
      </c>
      <c r="F271" s="7">
        <v>192636.74</v>
      </c>
      <c r="G271" s="7">
        <v>9053926.7799999993</v>
      </c>
      <c r="H271" s="7">
        <f t="shared" si="1"/>
        <v>2263481.6949999998</v>
      </c>
      <c r="I271" s="8">
        <v>45646</v>
      </c>
      <c r="J271" s="5" t="s">
        <v>10</v>
      </c>
    </row>
    <row r="272" spans="1:10" x14ac:dyDescent="0.25">
      <c r="A272" s="6" t="s">
        <v>292</v>
      </c>
      <c r="B272" s="6" t="s">
        <v>129</v>
      </c>
      <c r="C272" s="6" t="s">
        <v>23</v>
      </c>
      <c r="D272" s="5">
        <v>58</v>
      </c>
      <c r="E272" s="7">
        <f t="shared" si="0"/>
        <v>118416.93</v>
      </c>
      <c r="F272" s="7">
        <v>157889.24</v>
      </c>
      <c r="G272" s="7">
        <v>9157575.9199999999</v>
      </c>
      <c r="H272" s="7">
        <f t="shared" si="1"/>
        <v>2289393.98</v>
      </c>
      <c r="I272" s="8">
        <v>45592</v>
      </c>
      <c r="J272" s="6" t="s">
        <v>40</v>
      </c>
    </row>
    <row r="273" spans="1:10" x14ac:dyDescent="0.25">
      <c r="A273" s="6" t="s">
        <v>293</v>
      </c>
      <c r="B273" s="6" t="s">
        <v>25</v>
      </c>
      <c r="C273" s="6" t="s">
        <v>23</v>
      </c>
      <c r="D273" s="5">
        <v>69</v>
      </c>
      <c r="E273" s="7">
        <f t="shared" si="0"/>
        <v>164191.6575</v>
      </c>
      <c r="F273" s="7">
        <v>218922.21</v>
      </c>
      <c r="G273" s="7">
        <v>15105632.49</v>
      </c>
      <c r="H273" s="7">
        <f t="shared" si="1"/>
        <v>3776408.1224999996</v>
      </c>
      <c r="I273" s="8">
        <v>45210</v>
      </c>
      <c r="J273" s="6" t="s">
        <v>17</v>
      </c>
    </row>
    <row r="274" spans="1:10" x14ac:dyDescent="0.25">
      <c r="A274" s="6" t="s">
        <v>294</v>
      </c>
      <c r="B274" s="6" t="s">
        <v>43</v>
      </c>
      <c r="C274" s="6" t="s">
        <v>12</v>
      </c>
      <c r="D274" s="5">
        <v>47</v>
      </c>
      <c r="E274" s="7">
        <f t="shared" si="0"/>
        <v>216864.66</v>
      </c>
      <c r="F274" s="7">
        <v>289152.88</v>
      </c>
      <c r="G274" s="7">
        <v>13590185.359999999</v>
      </c>
      <c r="H274" s="7">
        <f t="shared" si="1"/>
        <v>3397546.34</v>
      </c>
      <c r="I274" s="8">
        <v>45217</v>
      </c>
      <c r="J274" s="5" t="s">
        <v>10</v>
      </c>
    </row>
    <row r="275" spans="1:10" x14ac:dyDescent="0.25">
      <c r="A275" s="5" t="s">
        <v>10</v>
      </c>
      <c r="B275" s="6" t="s">
        <v>88</v>
      </c>
      <c r="C275" s="6" t="s">
        <v>39</v>
      </c>
      <c r="D275" s="5">
        <v>47</v>
      </c>
      <c r="E275" s="7">
        <f t="shared" si="0"/>
        <v>84488.287500000006</v>
      </c>
      <c r="F275" s="7">
        <v>112651.05</v>
      </c>
      <c r="G275" s="7">
        <v>5294599.3500000006</v>
      </c>
      <c r="H275" s="7">
        <f t="shared" si="1"/>
        <v>1323649.8374999999</v>
      </c>
      <c r="I275" s="8">
        <v>45193</v>
      </c>
      <c r="J275" s="5" t="s">
        <v>10</v>
      </c>
    </row>
    <row r="276" spans="1:10" x14ac:dyDescent="0.25">
      <c r="A276" s="6" t="s">
        <v>295</v>
      </c>
      <c r="B276" s="6" t="s">
        <v>43</v>
      </c>
      <c r="C276" s="6" t="s">
        <v>12</v>
      </c>
      <c r="D276" s="5">
        <v>47</v>
      </c>
      <c r="E276" s="7">
        <f t="shared" si="0"/>
        <v>200590.8075</v>
      </c>
      <c r="F276" s="7">
        <v>267454.40999999997</v>
      </c>
      <c r="G276" s="7">
        <v>12570357.27</v>
      </c>
      <c r="H276" s="7">
        <f t="shared" si="1"/>
        <v>3142589.317499999</v>
      </c>
      <c r="I276" s="8">
        <v>45423</v>
      </c>
      <c r="J276" s="6" t="s">
        <v>13</v>
      </c>
    </row>
    <row r="277" spans="1:10" x14ac:dyDescent="0.25">
      <c r="A277" s="6" t="s">
        <v>296</v>
      </c>
      <c r="B277" s="6" t="s">
        <v>38</v>
      </c>
      <c r="C277" s="6" t="s">
        <v>23</v>
      </c>
      <c r="D277" s="5">
        <v>47</v>
      </c>
      <c r="E277" s="7">
        <f t="shared" si="0"/>
        <v>101127.6525</v>
      </c>
      <c r="F277" s="7">
        <v>134836.87</v>
      </c>
      <c r="G277" s="7">
        <v>6337332.8899999997</v>
      </c>
      <c r="H277" s="7">
        <f t="shared" si="1"/>
        <v>1584333.2224999999</v>
      </c>
      <c r="I277" s="8">
        <v>45407</v>
      </c>
      <c r="J277" s="6" t="s">
        <v>40</v>
      </c>
    </row>
    <row r="278" spans="1:10" x14ac:dyDescent="0.25">
      <c r="A278" s="6" t="s">
        <v>297</v>
      </c>
      <c r="B278" s="6" t="s">
        <v>34</v>
      </c>
      <c r="C278" s="6" t="s">
        <v>54</v>
      </c>
      <c r="D278" s="5">
        <v>47</v>
      </c>
      <c r="E278" s="7">
        <f t="shared" si="0"/>
        <v>206381.97749999998</v>
      </c>
      <c r="F278" s="7">
        <v>275175.96999999997</v>
      </c>
      <c r="G278" s="7">
        <v>12933270.589999998</v>
      </c>
      <c r="H278" s="7">
        <f t="shared" si="1"/>
        <v>3233317.6474999995</v>
      </c>
      <c r="I278" s="8">
        <v>45735</v>
      </c>
      <c r="J278" s="6" t="s">
        <v>17</v>
      </c>
    </row>
    <row r="279" spans="1:10" x14ac:dyDescent="0.25">
      <c r="A279" s="6" t="s">
        <v>298</v>
      </c>
      <c r="B279" s="6" t="s">
        <v>30</v>
      </c>
      <c r="C279" s="6" t="s">
        <v>23</v>
      </c>
      <c r="D279" s="5">
        <v>47</v>
      </c>
      <c r="E279" s="7">
        <f t="shared" si="0"/>
        <v>85170.12</v>
      </c>
      <c r="F279" s="7">
        <v>113560.16</v>
      </c>
      <c r="G279" s="7">
        <v>5337327.5200000005</v>
      </c>
      <c r="H279" s="7">
        <f t="shared" si="1"/>
        <v>1334331.8800000004</v>
      </c>
      <c r="I279" s="8">
        <v>45381</v>
      </c>
      <c r="J279" s="6" t="s">
        <v>13</v>
      </c>
    </row>
    <row r="280" spans="1:10" x14ac:dyDescent="0.25">
      <c r="A280" s="6" t="s">
        <v>299</v>
      </c>
      <c r="B280" s="6" t="s">
        <v>38</v>
      </c>
      <c r="C280" s="6" t="s">
        <v>12</v>
      </c>
      <c r="D280" s="5">
        <v>47</v>
      </c>
      <c r="E280" s="7">
        <f t="shared" si="0"/>
        <v>18401.1525</v>
      </c>
      <c r="F280" s="7">
        <v>24534.87</v>
      </c>
      <c r="G280" s="7">
        <v>1153138.8899999999</v>
      </c>
      <c r="H280" s="7">
        <f t="shared" si="1"/>
        <v>288284.72249999992</v>
      </c>
      <c r="I280" s="8">
        <v>45551</v>
      </c>
      <c r="J280" s="6" t="s">
        <v>40</v>
      </c>
    </row>
    <row r="281" spans="1:10" x14ac:dyDescent="0.25">
      <c r="A281" s="6" t="s">
        <v>300</v>
      </c>
      <c r="B281" s="6" t="s">
        <v>65</v>
      </c>
      <c r="C281" s="6" t="s">
        <v>12</v>
      </c>
      <c r="D281" s="5">
        <v>54</v>
      </c>
      <c r="E281" s="7">
        <f t="shared" si="0"/>
        <v>216945.93</v>
      </c>
      <c r="F281" s="7">
        <v>289261.24</v>
      </c>
      <c r="G281" s="7">
        <v>15620106.960000001</v>
      </c>
      <c r="H281" s="7">
        <f t="shared" si="1"/>
        <v>3905026.7399999998</v>
      </c>
      <c r="I281" s="8">
        <v>45847</v>
      </c>
      <c r="J281" s="6" t="s">
        <v>17</v>
      </c>
    </row>
    <row r="282" spans="1:10" x14ac:dyDescent="0.25">
      <c r="A282" s="6" t="s">
        <v>301</v>
      </c>
      <c r="B282" s="6" t="s">
        <v>38</v>
      </c>
      <c r="C282" s="6" t="s">
        <v>39</v>
      </c>
      <c r="D282" s="5">
        <v>47</v>
      </c>
      <c r="E282" s="7">
        <f t="shared" si="0"/>
        <v>118416.93</v>
      </c>
      <c r="F282" s="7">
        <v>157889.24</v>
      </c>
      <c r="G282" s="7">
        <v>7420794.2799999993</v>
      </c>
      <c r="H282" s="7">
        <f t="shared" si="1"/>
        <v>1855198.5699999998</v>
      </c>
      <c r="I282" s="8">
        <v>45401</v>
      </c>
      <c r="J282" s="6" t="s">
        <v>13</v>
      </c>
    </row>
    <row r="283" spans="1:10" x14ac:dyDescent="0.25">
      <c r="A283" s="6" t="s">
        <v>302</v>
      </c>
      <c r="B283" s="6" t="s">
        <v>38</v>
      </c>
      <c r="C283" s="6" t="s">
        <v>66</v>
      </c>
      <c r="D283" s="5">
        <v>47</v>
      </c>
      <c r="E283" s="7">
        <f t="shared" si="0"/>
        <v>196821.63</v>
      </c>
      <c r="F283" s="7">
        <v>262428.84000000003</v>
      </c>
      <c r="G283" s="7">
        <v>12334155.48</v>
      </c>
      <c r="H283" s="7">
        <f t="shared" si="1"/>
        <v>3083538.870000001</v>
      </c>
      <c r="I283" s="8">
        <v>45704</v>
      </c>
      <c r="J283" s="6" t="s">
        <v>40</v>
      </c>
    </row>
    <row r="284" spans="1:10" x14ac:dyDescent="0.25">
      <c r="A284" s="6" t="s">
        <v>303</v>
      </c>
      <c r="B284" s="6" t="s">
        <v>34</v>
      </c>
      <c r="C284" s="6" t="s">
        <v>54</v>
      </c>
      <c r="D284" s="5">
        <v>47</v>
      </c>
      <c r="E284" s="7">
        <f t="shared" si="0"/>
        <v>30247.837499999998</v>
      </c>
      <c r="F284" s="7">
        <v>40330.449999999997</v>
      </c>
      <c r="G284" s="7">
        <v>1895531.15</v>
      </c>
      <c r="H284" s="7">
        <f t="shared" si="1"/>
        <v>473882.78749999998</v>
      </c>
      <c r="I284" s="8">
        <v>45230</v>
      </c>
      <c r="J284" s="6" t="s">
        <v>17</v>
      </c>
    </row>
    <row r="285" spans="1:10" x14ac:dyDescent="0.25">
      <c r="A285" s="6" t="s">
        <v>304</v>
      </c>
      <c r="B285" s="6" t="s">
        <v>129</v>
      </c>
      <c r="C285" s="6" t="s">
        <v>45</v>
      </c>
      <c r="D285" s="5">
        <v>47</v>
      </c>
      <c r="E285" s="7">
        <f t="shared" si="0"/>
        <v>193616.8725</v>
      </c>
      <c r="F285" s="7">
        <v>258155.83</v>
      </c>
      <c r="G285" s="7">
        <v>12133324.01</v>
      </c>
      <c r="H285" s="7">
        <f t="shared" si="1"/>
        <v>3033331.0024999995</v>
      </c>
      <c r="I285" s="8">
        <v>45272</v>
      </c>
      <c r="J285" s="6" t="s">
        <v>40</v>
      </c>
    </row>
    <row r="286" spans="1:10" x14ac:dyDescent="0.25">
      <c r="A286" s="6" t="s">
        <v>305</v>
      </c>
      <c r="B286" s="6" t="s">
        <v>47</v>
      </c>
      <c r="C286" s="6" t="s">
        <v>23</v>
      </c>
      <c r="D286" s="5">
        <v>71</v>
      </c>
      <c r="E286" s="7">
        <f t="shared" si="0"/>
        <v>27022.972499999996</v>
      </c>
      <c r="F286" s="7">
        <v>36030.629999999997</v>
      </c>
      <c r="G286" s="7">
        <v>2558174.73</v>
      </c>
      <c r="H286" s="7">
        <f t="shared" si="1"/>
        <v>639543.68250000011</v>
      </c>
      <c r="I286" s="8">
        <v>45585</v>
      </c>
      <c r="J286" s="5" t="s">
        <v>10</v>
      </c>
    </row>
    <row r="287" spans="1:10" x14ac:dyDescent="0.25">
      <c r="A287" s="6" t="s">
        <v>306</v>
      </c>
      <c r="B287" s="6" t="s">
        <v>47</v>
      </c>
      <c r="C287" s="6" t="s">
        <v>66</v>
      </c>
      <c r="D287" s="5">
        <v>47</v>
      </c>
      <c r="E287" s="7">
        <f t="shared" si="0"/>
        <v>223393.20749999999</v>
      </c>
      <c r="F287" s="7">
        <v>297857.61</v>
      </c>
      <c r="G287" s="7">
        <v>13999307.67</v>
      </c>
      <c r="H287" s="7">
        <f t="shared" si="1"/>
        <v>3499826.9175</v>
      </c>
      <c r="I287" s="8">
        <v>45513</v>
      </c>
      <c r="J287" s="6" t="s">
        <v>27</v>
      </c>
    </row>
    <row r="288" spans="1:10" x14ac:dyDescent="0.25">
      <c r="A288" s="5" t="s">
        <v>10</v>
      </c>
      <c r="B288" s="6" t="s">
        <v>62</v>
      </c>
      <c r="C288" s="6" t="s">
        <v>39</v>
      </c>
      <c r="D288" s="5">
        <v>47</v>
      </c>
      <c r="E288" s="7">
        <f t="shared" si="0"/>
        <v>88665.794999999998</v>
      </c>
      <c r="F288" s="7">
        <v>118221.06</v>
      </c>
      <c r="G288" s="7">
        <v>5556389.8200000003</v>
      </c>
      <c r="H288" s="7">
        <f t="shared" si="1"/>
        <v>1389097.4550000001</v>
      </c>
      <c r="I288" s="8">
        <v>45429</v>
      </c>
      <c r="J288" s="6" t="s">
        <v>27</v>
      </c>
    </row>
    <row r="289" spans="1:10" x14ac:dyDescent="0.25">
      <c r="A289" s="6" t="s">
        <v>307</v>
      </c>
      <c r="B289" s="6" t="s">
        <v>38</v>
      </c>
      <c r="C289" s="6" t="s">
        <v>26</v>
      </c>
      <c r="D289" s="5">
        <v>11</v>
      </c>
      <c r="E289" s="7">
        <f t="shared" si="0"/>
        <v>28980.337499999998</v>
      </c>
      <c r="F289" s="7">
        <v>38640.449999999997</v>
      </c>
      <c r="G289" s="7">
        <v>425044.95</v>
      </c>
      <c r="H289" s="7">
        <f t="shared" si="1"/>
        <v>106261.23749999999</v>
      </c>
      <c r="I289" s="8">
        <v>45506</v>
      </c>
      <c r="J289" s="5" t="s">
        <v>10</v>
      </c>
    </row>
    <row r="290" spans="1:10" x14ac:dyDescent="0.25">
      <c r="A290" s="6" t="s">
        <v>308</v>
      </c>
      <c r="B290" s="6" t="s">
        <v>47</v>
      </c>
      <c r="C290" s="6" t="s">
        <v>66</v>
      </c>
      <c r="D290" s="5">
        <v>47</v>
      </c>
      <c r="E290" s="7">
        <f t="shared" si="0"/>
        <v>220220.96250000002</v>
      </c>
      <c r="F290" s="7">
        <v>293627.95</v>
      </c>
      <c r="G290" s="7">
        <v>13800513.65</v>
      </c>
      <c r="H290" s="7">
        <f t="shared" si="1"/>
        <v>3450128.4124999996</v>
      </c>
      <c r="I290" s="8">
        <v>45149</v>
      </c>
      <c r="J290" s="6" t="s">
        <v>40</v>
      </c>
    </row>
    <row r="291" spans="1:10" x14ac:dyDescent="0.25">
      <c r="A291" s="6" t="s">
        <v>309</v>
      </c>
      <c r="B291" s="6" t="s">
        <v>32</v>
      </c>
      <c r="C291" s="6" t="s">
        <v>23</v>
      </c>
      <c r="D291" s="5">
        <v>66</v>
      </c>
      <c r="E291" s="7">
        <f t="shared" si="0"/>
        <v>187896.80249999999</v>
      </c>
      <c r="F291" s="7">
        <v>250529.07</v>
      </c>
      <c r="G291" s="7">
        <v>16534918.619999999</v>
      </c>
      <c r="H291" s="7">
        <f t="shared" si="1"/>
        <v>4133729.6550000012</v>
      </c>
      <c r="I291" s="8">
        <v>45153</v>
      </c>
      <c r="J291" s="5" t="s">
        <v>10</v>
      </c>
    </row>
    <row r="292" spans="1:10" x14ac:dyDescent="0.25">
      <c r="A292" s="6" t="s">
        <v>310</v>
      </c>
      <c r="B292" s="6" t="s">
        <v>62</v>
      </c>
      <c r="C292" s="6" t="s">
        <v>66</v>
      </c>
      <c r="D292" s="5">
        <v>56</v>
      </c>
      <c r="E292" s="7">
        <f t="shared" si="0"/>
        <v>118416.93</v>
      </c>
      <c r="F292" s="7">
        <v>157889.24</v>
      </c>
      <c r="G292" s="7">
        <v>8841797.4399999995</v>
      </c>
      <c r="H292" s="7">
        <f t="shared" si="1"/>
        <v>2210449.36</v>
      </c>
      <c r="I292" s="8">
        <v>45148</v>
      </c>
      <c r="J292" s="6" t="s">
        <v>27</v>
      </c>
    </row>
    <row r="293" spans="1:10" x14ac:dyDescent="0.25">
      <c r="A293" s="6" t="s">
        <v>311</v>
      </c>
      <c r="B293" s="6" t="s">
        <v>32</v>
      </c>
      <c r="C293" s="6" t="s">
        <v>16</v>
      </c>
      <c r="D293" s="5">
        <v>47</v>
      </c>
      <c r="E293" s="7">
        <f t="shared" si="0"/>
        <v>170231.79750000002</v>
      </c>
      <c r="F293" s="7">
        <v>226975.73</v>
      </c>
      <c r="G293" s="7">
        <v>10667859.310000001</v>
      </c>
      <c r="H293" s="7">
        <f t="shared" si="1"/>
        <v>2666964.8274999997</v>
      </c>
      <c r="I293" s="8">
        <v>45224</v>
      </c>
      <c r="J293" s="6" t="s">
        <v>27</v>
      </c>
    </row>
    <row r="294" spans="1:10" x14ac:dyDescent="0.25">
      <c r="A294" s="6" t="s">
        <v>312</v>
      </c>
      <c r="B294" s="6" t="s">
        <v>49</v>
      </c>
      <c r="C294" s="6" t="s">
        <v>12</v>
      </c>
      <c r="D294" s="5">
        <v>45</v>
      </c>
      <c r="E294" s="7">
        <f t="shared" si="0"/>
        <v>220168.47000000003</v>
      </c>
      <c r="F294" s="7">
        <v>293557.96000000002</v>
      </c>
      <c r="G294" s="7">
        <v>13210108.199999999</v>
      </c>
      <c r="H294" s="7">
        <f t="shared" si="1"/>
        <v>3302527.05</v>
      </c>
      <c r="I294" s="8">
        <v>45672</v>
      </c>
      <c r="J294" s="6" t="s">
        <v>40</v>
      </c>
    </row>
    <row r="295" spans="1:10" x14ac:dyDescent="0.25">
      <c r="A295" s="6" t="s">
        <v>313</v>
      </c>
      <c r="B295" s="6" t="s">
        <v>32</v>
      </c>
      <c r="C295" s="6" t="s">
        <v>12</v>
      </c>
      <c r="D295" s="5">
        <v>54</v>
      </c>
      <c r="E295" s="7">
        <f t="shared" si="0"/>
        <v>104377.2525</v>
      </c>
      <c r="F295" s="7">
        <v>139169.67000000001</v>
      </c>
      <c r="G295" s="7">
        <v>7515162.1799999997</v>
      </c>
      <c r="H295" s="7">
        <f t="shared" si="1"/>
        <v>1878790.5450000006</v>
      </c>
      <c r="I295" s="8">
        <v>45376</v>
      </c>
      <c r="J295" s="6" t="s">
        <v>27</v>
      </c>
    </row>
    <row r="296" spans="1:10" x14ac:dyDescent="0.25">
      <c r="A296" s="6" t="s">
        <v>314</v>
      </c>
      <c r="B296" s="6" t="s">
        <v>21</v>
      </c>
      <c r="C296" s="6" t="s">
        <v>23</v>
      </c>
      <c r="D296" s="5">
        <v>47</v>
      </c>
      <c r="E296" s="7">
        <f t="shared" si="0"/>
        <v>161901.48749999999</v>
      </c>
      <c r="F296" s="7">
        <v>215868.65</v>
      </c>
      <c r="G296" s="7">
        <v>10145826.549999999</v>
      </c>
      <c r="H296" s="7">
        <f t="shared" si="1"/>
        <v>2536456.6375000002</v>
      </c>
      <c r="I296" s="8">
        <v>45742</v>
      </c>
      <c r="J296" s="5" t="s">
        <v>10</v>
      </c>
    </row>
    <row r="297" spans="1:10" x14ac:dyDescent="0.25">
      <c r="A297" s="6" t="s">
        <v>315</v>
      </c>
      <c r="B297" s="6" t="s">
        <v>74</v>
      </c>
      <c r="C297" s="6" t="s">
        <v>16</v>
      </c>
      <c r="D297" s="5">
        <v>48</v>
      </c>
      <c r="E297" s="7">
        <f t="shared" si="0"/>
        <v>95644.755000000005</v>
      </c>
      <c r="F297" s="7">
        <v>127526.34</v>
      </c>
      <c r="G297" s="7">
        <v>6121264.3200000003</v>
      </c>
      <c r="H297" s="7">
        <f t="shared" si="1"/>
        <v>1530316.0799999996</v>
      </c>
      <c r="I297" s="8">
        <v>45485</v>
      </c>
      <c r="J297" s="6" t="s">
        <v>40</v>
      </c>
    </row>
    <row r="298" spans="1:10" x14ac:dyDescent="0.25">
      <c r="A298" s="6" t="s">
        <v>316</v>
      </c>
      <c r="B298" s="6" t="s">
        <v>11</v>
      </c>
      <c r="C298" s="6" t="s">
        <v>54</v>
      </c>
      <c r="D298" s="5">
        <v>50</v>
      </c>
      <c r="E298" s="7">
        <f t="shared" si="0"/>
        <v>85569.975000000006</v>
      </c>
      <c r="F298" s="7">
        <v>114093.3</v>
      </c>
      <c r="G298" s="7">
        <v>5704665</v>
      </c>
      <c r="H298" s="7">
        <f t="shared" si="1"/>
        <v>1426166.2499999998</v>
      </c>
      <c r="I298" s="8">
        <v>45521</v>
      </c>
      <c r="J298" s="5" t="s">
        <v>10</v>
      </c>
    </row>
    <row r="299" spans="1:10" x14ac:dyDescent="0.25">
      <c r="A299" s="6" t="s">
        <v>317</v>
      </c>
      <c r="B299" s="6" t="s">
        <v>34</v>
      </c>
      <c r="C299" s="6" t="s">
        <v>12</v>
      </c>
      <c r="D299" s="5">
        <v>48</v>
      </c>
      <c r="E299" s="7">
        <f t="shared" si="0"/>
        <v>51963.292499999996</v>
      </c>
      <c r="F299" s="7">
        <v>69284.39</v>
      </c>
      <c r="G299" s="7">
        <v>3325650.72</v>
      </c>
      <c r="H299" s="7">
        <f t="shared" si="1"/>
        <v>831412.68000000017</v>
      </c>
      <c r="I299" s="8">
        <v>45472</v>
      </c>
      <c r="J299" s="6" t="s">
        <v>40</v>
      </c>
    </row>
    <row r="300" spans="1:10" x14ac:dyDescent="0.25">
      <c r="A300" s="6" t="s">
        <v>267</v>
      </c>
      <c r="B300" s="6" t="s">
        <v>21</v>
      </c>
      <c r="C300" s="6" t="s">
        <v>39</v>
      </c>
      <c r="D300" s="5">
        <v>47</v>
      </c>
      <c r="E300" s="7">
        <f t="shared" si="0"/>
        <v>103842.95249999998</v>
      </c>
      <c r="F300" s="7">
        <v>138457.26999999999</v>
      </c>
      <c r="G300" s="7">
        <v>6507491.6899999995</v>
      </c>
      <c r="H300" s="7">
        <f t="shared" si="1"/>
        <v>1626872.9225000003</v>
      </c>
      <c r="I300" s="8">
        <v>45233</v>
      </c>
      <c r="J300" s="6" t="s">
        <v>27</v>
      </c>
    </row>
    <row r="301" spans="1:10" x14ac:dyDescent="0.25">
      <c r="A301" s="5" t="s">
        <v>10</v>
      </c>
      <c r="B301" s="6" t="s">
        <v>34</v>
      </c>
      <c r="C301" s="6" t="s">
        <v>12</v>
      </c>
      <c r="D301" s="5">
        <v>47</v>
      </c>
      <c r="E301" s="7">
        <f t="shared" si="0"/>
        <v>35219.137499999997</v>
      </c>
      <c r="F301" s="7">
        <v>46958.85</v>
      </c>
      <c r="G301" s="7">
        <v>2207065.9499999997</v>
      </c>
      <c r="H301" s="7">
        <f t="shared" si="1"/>
        <v>551766.48750000005</v>
      </c>
      <c r="I301" s="8">
        <v>45588</v>
      </c>
      <c r="J301" s="6" t="s">
        <v>17</v>
      </c>
    </row>
    <row r="302" spans="1:10" x14ac:dyDescent="0.25">
      <c r="A302" s="6" t="s">
        <v>318</v>
      </c>
      <c r="B302" s="6" t="s">
        <v>49</v>
      </c>
      <c r="C302" s="6" t="s">
        <v>45</v>
      </c>
      <c r="D302" s="5">
        <v>47</v>
      </c>
      <c r="E302" s="7">
        <f t="shared" si="0"/>
        <v>118416.93</v>
      </c>
      <c r="F302" s="7">
        <v>157889.24</v>
      </c>
      <c r="G302" s="7">
        <v>7420794.2799999993</v>
      </c>
      <c r="H302" s="7">
        <f t="shared" si="1"/>
        <v>1855198.5699999998</v>
      </c>
      <c r="I302" s="8">
        <v>45811</v>
      </c>
      <c r="J302" s="6" t="s">
        <v>40</v>
      </c>
    </row>
    <row r="303" spans="1:10" x14ac:dyDescent="0.25">
      <c r="A303" s="6" t="s">
        <v>319</v>
      </c>
      <c r="B303" s="6" t="s">
        <v>38</v>
      </c>
      <c r="C303" s="6" t="s">
        <v>54</v>
      </c>
      <c r="D303" s="5">
        <v>19</v>
      </c>
      <c r="E303" s="7">
        <f t="shared" si="0"/>
        <v>42712.425000000003</v>
      </c>
      <c r="F303" s="7">
        <v>56949.9</v>
      </c>
      <c r="G303" s="7">
        <v>1082048.1000000001</v>
      </c>
      <c r="H303" s="7">
        <f t="shared" si="1"/>
        <v>270512.02499999997</v>
      </c>
      <c r="I303" s="8">
        <v>45518</v>
      </c>
      <c r="J303" s="6" t="s">
        <v>40</v>
      </c>
    </row>
    <row r="304" spans="1:10" x14ac:dyDescent="0.25">
      <c r="A304" s="6" t="s">
        <v>320</v>
      </c>
      <c r="B304" s="6" t="s">
        <v>49</v>
      </c>
      <c r="C304" s="6" t="s">
        <v>45</v>
      </c>
      <c r="D304" s="5">
        <v>47</v>
      </c>
      <c r="E304" s="7">
        <f t="shared" si="0"/>
        <v>196968.63749999998</v>
      </c>
      <c r="F304" s="7">
        <v>262624.84999999998</v>
      </c>
      <c r="G304" s="7">
        <v>12343367.949999999</v>
      </c>
      <c r="H304" s="7">
        <f t="shared" si="1"/>
        <v>3085841.9874999998</v>
      </c>
      <c r="I304" s="8">
        <v>45226</v>
      </c>
      <c r="J304" s="6" t="s">
        <v>17</v>
      </c>
    </row>
    <row r="305" spans="1:10" x14ac:dyDescent="0.25">
      <c r="A305" s="6" t="s">
        <v>321</v>
      </c>
      <c r="B305" s="6" t="s">
        <v>32</v>
      </c>
      <c r="C305" s="6" t="s">
        <v>45</v>
      </c>
      <c r="D305" s="5">
        <v>47</v>
      </c>
      <c r="E305" s="7">
        <f t="shared" si="0"/>
        <v>172323.17250000002</v>
      </c>
      <c r="F305" s="7">
        <v>229764.23</v>
      </c>
      <c r="G305" s="7">
        <v>10798918.810000001</v>
      </c>
      <c r="H305" s="7">
        <f t="shared" si="1"/>
        <v>2699729.7024999997</v>
      </c>
      <c r="I305" s="8">
        <v>45372</v>
      </c>
      <c r="J305" s="6" t="s">
        <v>27</v>
      </c>
    </row>
    <row r="306" spans="1:10" x14ac:dyDescent="0.25">
      <c r="A306" s="6" t="s">
        <v>322</v>
      </c>
      <c r="B306" s="6" t="s">
        <v>36</v>
      </c>
      <c r="C306" s="6" t="s">
        <v>39</v>
      </c>
      <c r="D306" s="5">
        <v>47</v>
      </c>
      <c r="E306" s="7">
        <f t="shared" si="0"/>
        <v>7611.8175000000001</v>
      </c>
      <c r="F306" s="7">
        <v>10149.09</v>
      </c>
      <c r="G306" s="7">
        <v>477007.23</v>
      </c>
      <c r="H306" s="7">
        <f t="shared" si="1"/>
        <v>119251.8075</v>
      </c>
      <c r="I306" s="8">
        <v>45841</v>
      </c>
      <c r="J306" s="5" t="s">
        <v>10</v>
      </c>
    </row>
    <row r="307" spans="1:10" x14ac:dyDescent="0.25">
      <c r="A307" s="6" t="s">
        <v>323</v>
      </c>
      <c r="B307" s="6" t="s">
        <v>34</v>
      </c>
      <c r="C307" s="6" t="s">
        <v>16</v>
      </c>
      <c r="D307" s="5">
        <v>47</v>
      </c>
      <c r="E307" s="7">
        <f t="shared" si="0"/>
        <v>148671.9075</v>
      </c>
      <c r="F307" s="7">
        <v>198229.21</v>
      </c>
      <c r="G307" s="7">
        <v>9316772.8699999992</v>
      </c>
      <c r="H307" s="7">
        <f t="shared" si="1"/>
        <v>2329193.2174999993</v>
      </c>
      <c r="I307" s="8">
        <v>45594</v>
      </c>
      <c r="J307" s="6" t="s">
        <v>13</v>
      </c>
    </row>
    <row r="308" spans="1:10" x14ac:dyDescent="0.25">
      <c r="A308" s="6" t="s">
        <v>324</v>
      </c>
      <c r="B308" s="6" t="s">
        <v>34</v>
      </c>
      <c r="C308" s="6" t="s">
        <v>45</v>
      </c>
      <c r="D308" s="5">
        <v>79</v>
      </c>
      <c r="E308" s="7">
        <f t="shared" si="0"/>
        <v>138502.125</v>
      </c>
      <c r="F308" s="7">
        <v>184669.5</v>
      </c>
      <c r="G308" s="7">
        <v>14588890.5</v>
      </c>
      <c r="H308" s="7">
        <f t="shared" si="1"/>
        <v>3647222.625</v>
      </c>
      <c r="I308" s="8">
        <v>45365</v>
      </c>
      <c r="J308" s="6" t="s">
        <v>17</v>
      </c>
    </row>
    <row r="309" spans="1:10" x14ac:dyDescent="0.25">
      <c r="A309" s="6" t="s">
        <v>325</v>
      </c>
      <c r="B309" s="6" t="s">
        <v>47</v>
      </c>
      <c r="C309" s="6" t="s">
        <v>54</v>
      </c>
      <c r="D309" s="5">
        <v>11</v>
      </c>
      <c r="E309" s="7">
        <f t="shared" si="0"/>
        <v>210677.44500000001</v>
      </c>
      <c r="F309" s="7">
        <v>280903.26</v>
      </c>
      <c r="G309" s="7">
        <v>3089935.86</v>
      </c>
      <c r="H309" s="7">
        <f t="shared" si="1"/>
        <v>772483.96500000008</v>
      </c>
      <c r="I309" s="8">
        <v>45244</v>
      </c>
      <c r="J309" s="6" t="s">
        <v>13</v>
      </c>
    </row>
    <row r="310" spans="1:10" x14ac:dyDescent="0.25">
      <c r="A310" s="6" t="s">
        <v>326</v>
      </c>
      <c r="B310" s="6" t="s">
        <v>65</v>
      </c>
      <c r="C310" s="6" t="s">
        <v>12</v>
      </c>
      <c r="D310" s="5">
        <v>33</v>
      </c>
      <c r="E310" s="7">
        <f t="shared" si="0"/>
        <v>200075.91</v>
      </c>
      <c r="F310" s="7">
        <v>266767.88</v>
      </c>
      <c r="G310" s="7">
        <v>8803340.0399999991</v>
      </c>
      <c r="H310" s="7">
        <f t="shared" si="1"/>
        <v>2200835.0100000002</v>
      </c>
      <c r="I310" s="8">
        <v>45423</v>
      </c>
      <c r="J310" s="6" t="s">
        <v>27</v>
      </c>
    </row>
    <row r="311" spans="1:10" x14ac:dyDescent="0.25">
      <c r="A311" s="6" t="s">
        <v>327</v>
      </c>
      <c r="B311" s="6" t="s">
        <v>19</v>
      </c>
      <c r="C311" s="6" t="s">
        <v>23</v>
      </c>
      <c r="D311" s="5">
        <v>47</v>
      </c>
      <c r="E311" s="7">
        <f t="shared" si="0"/>
        <v>54434.67</v>
      </c>
      <c r="F311" s="7">
        <v>72579.56</v>
      </c>
      <c r="G311" s="7">
        <v>3411239.32</v>
      </c>
      <c r="H311" s="7">
        <f t="shared" si="1"/>
        <v>852809.83</v>
      </c>
      <c r="I311" s="8">
        <v>45596</v>
      </c>
      <c r="J311" s="6" t="s">
        <v>40</v>
      </c>
    </row>
    <row r="312" spans="1:10" x14ac:dyDescent="0.25">
      <c r="A312" s="6" t="s">
        <v>328</v>
      </c>
      <c r="B312" s="6" t="s">
        <v>43</v>
      </c>
      <c r="C312" s="6" t="s">
        <v>54</v>
      </c>
      <c r="D312" s="5">
        <v>47</v>
      </c>
      <c r="E312" s="7">
        <f t="shared" si="0"/>
        <v>118416.93</v>
      </c>
      <c r="F312" s="7">
        <v>157889.24</v>
      </c>
      <c r="G312" s="7">
        <v>7420794.2799999993</v>
      </c>
      <c r="H312" s="7">
        <f t="shared" si="1"/>
        <v>1855198.5699999998</v>
      </c>
      <c r="I312" s="8">
        <v>45692</v>
      </c>
      <c r="J312" s="6" t="s">
        <v>40</v>
      </c>
    </row>
    <row r="313" spans="1:10" x14ac:dyDescent="0.25">
      <c r="A313" s="6" t="s">
        <v>329</v>
      </c>
      <c r="B313" s="6" t="s">
        <v>65</v>
      </c>
      <c r="C313" s="6" t="s">
        <v>66</v>
      </c>
      <c r="D313" s="5">
        <v>47</v>
      </c>
      <c r="E313" s="7">
        <f t="shared" si="0"/>
        <v>15490.2225</v>
      </c>
      <c r="F313" s="7">
        <v>20653.63</v>
      </c>
      <c r="G313" s="7">
        <v>970720.6100000001</v>
      </c>
      <c r="H313" s="7">
        <f t="shared" si="1"/>
        <v>242680.15250000005</v>
      </c>
      <c r="I313" s="8">
        <v>45772</v>
      </c>
      <c r="J313" s="6" t="s">
        <v>27</v>
      </c>
    </row>
    <row r="314" spans="1:10" x14ac:dyDescent="0.25">
      <c r="A314" s="5" t="s">
        <v>10</v>
      </c>
      <c r="B314" s="6" t="s">
        <v>21</v>
      </c>
      <c r="C314" s="6" t="s">
        <v>12</v>
      </c>
      <c r="D314" s="5">
        <v>47</v>
      </c>
      <c r="E314" s="7">
        <f t="shared" si="0"/>
        <v>133789.70249999998</v>
      </c>
      <c r="F314" s="7">
        <v>178386.27</v>
      </c>
      <c r="G314" s="7">
        <v>8384154.6899999995</v>
      </c>
      <c r="H314" s="7">
        <f t="shared" si="1"/>
        <v>2096038.6725000003</v>
      </c>
      <c r="I314" s="8">
        <v>45350</v>
      </c>
      <c r="J314" s="5" t="s">
        <v>10</v>
      </c>
    </row>
    <row r="315" spans="1:10" x14ac:dyDescent="0.25">
      <c r="A315" s="6" t="s">
        <v>330</v>
      </c>
      <c r="B315" s="6" t="s">
        <v>19</v>
      </c>
      <c r="C315" s="6" t="s">
        <v>39</v>
      </c>
      <c r="D315" s="5">
        <v>47</v>
      </c>
      <c r="E315" s="7">
        <f t="shared" si="0"/>
        <v>100656.82500000001</v>
      </c>
      <c r="F315" s="7">
        <v>134209.1</v>
      </c>
      <c r="G315" s="7">
        <v>6307827.7000000002</v>
      </c>
      <c r="H315" s="7">
        <f t="shared" si="1"/>
        <v>1576956.9249999998</v>
      </c>
      <c r="I315" s="8">
        <v>45579</v>
      </c>
      <c r="J315" s="5" t="s">
        <v>10</v>
      </c>
    </row>
    <row r="316" spans="1:10" x14ac:dyDescent="0.25">
      <c r="A316" s="6" t="s">
        <v>331</v>
      </c>
      <c r="B316" s="6" t="s">
        <v>74</v>
      </c>
      <c r="C316" s="6" t="s">
        <v>45</v>
      </c>
      <c r="D316" s="5">
        <v>16</v>
      </c>
      <c r="E316" s="7">
        <f t="shared" si="0"/>
        <v>151328.31</v>
      </c>
      <c r="F316" s="7">
        <v>201771.08</v>
      </c>
      <c r="G316" s="7">
        <v>3228337.28</v>
      </c>
      <c r="H316" s="7">
        <f t="shared" si="1"/>
        <v>807084.31999999983</v>
      </c>
      <c r="I316" s="8">
        <v>45379</v>
      </c>
      <c r="J316" s="6" t="s">
        <v>27</v>
      </c>
    </row>
    <row r="317" spans="1:10" x14ac:dyDescent="0.25">
      <c r="A317" s="6" t="s">
        <v>332</v>
      </c>
      <c r="B317" s="6" t="s">
        <v>25</v>
      </c>
      <c r="C317" s="6" t="s">
        <v>23</v>
      </c>
      <c r="D317" s="5">
        <v>47</v>
      </c>
      <c r="E317" s="7">
        <f t="shared" si="0"/>
        <v>196295.715</v>
      </c>
      <c r="F317" s="7">
        <v>261727.62</v>
      </c>
      <c r="G317" s="7">
        <v>12301198.140000001</v>
      </c>
      <c r="H317" s="7">
        <f t="shared" si="1"/>
        <v>3075299.5350000001</v>
      </c>
      <c r="I317" s="8">
        <v>45512</v>
      </c>
      <c r="J317" s="6" t="s">
        <v>27</v>
      </c>
    </row>
    <row r="318" spans="1:10" x14ac:dyDescent="0.25">
      <c r="A318" s="6" t="s">
        <v>333</v>
      </c>
      <c r="B318" s="6" t="s">
        <v>88</v>
      </c>
      <c r="C318" s="6" t="s">
        <v>45</v>
      </c>
      <c r="D318" s="5">
        <v>47</v>
      </c>
      <c r="E318" s="7">
        <f t="shared" si="0"/>
        <v>55348.41</v>
      </c>
      <c r="F318" s="7">
        <v>73797.88</v>
      </c>
      <c r="G318" s="7">
        <v>3468500.3600000003</v>
      </c>
      <c r="H318" s="7">
        <f t="shared" si="1"/>
        <v>867125.09000000008</v>
      </c>
      <c r="I318" s="8">
        <v>45761</v>
      </c>
      <c r="J318" s="6" t="s">
        <v>27</v>
      </c>
    </row>
    <row r="319" spans="1:10" x14ac:dyDescent="0.25">
      <c r="A319" s="6" t="s">
        <v>334</v>
      </c>
      <c r="B319" s="6" t="s">
        <v>58</v>
      </c>
      <c r="C319" s="6" t="s">
        <v>39</v>
      </c>
      <c r="D319" s="5">
        <v>59</v>
      </c>
      <c r="E319" s="7">
        <f t="shared" si="0"/>
        <v>10311.674999999999</v>
      </c>
      <c r="F319" s="7">
        <v>13748.9</v>
      </c>
      <c r="G319" s="7">
        <v>811185.1</v>
      </c>
      <c r="H319" s="7">
        <f t="shared" si="1"/>
        <v>202796.27500000002</v>
      </c>
      <c r="I319" s="8">
        <v>45513</v>
      </c>
      <c r="J319" s="6" t="s">
        <v>27</v>
      </c>
    </row>
    <row r="320" spans="1:10" x14ac:dyDescent="0.25">
      <c r="A320" s="6" t="s">
        <v>335</v>
      </c>
      <c r="B320" s="6" t="s">
        <v>65</v>
      </c>
      <c r="C320" s="6" t="s">
        <v>54</v>
      </c>
      <c r="D320" s="5">
        <v>47</v>
      </c>
      <c r="E320" s="7">
        <f t="shared" si="0"/>
        <v>98977.01999999999</v>
      </c>
      <c r="F320" s="7">
        <v>131969.35999999999</v>
      </c>
      <c r="G320" s="7">
        <v>6202559.919999999</v>
      </c>
      <c r="H320" s="7">
        <f t="shared" si="1"/>
        <v>1550639.9799999997</v>
      </c>
      <c r="I320" s="8">
        <v>45531</v>
      </c>
      <c r="J320" s="6" t="s">
        <v>27</v>
      </c>
    </row>
    <row r="321" spans="1:10" x14ac:dyDescent="0.25">
      <c r="A321" s="6" t="s">
        <v>336</v>
      </c>
      <c r="B321" s="6" t="s">
        <v>32</v>
      </c>
      <c r="C321" s="6" t="s">
        <v>66</v>
      </c>
      <c r="D321" s="5">
        <v>47</v>
      </c>
      <c r="E321" s="7">
        <f t="shared" si="0"/>
        <v>121618.545</v>
      </c>
      <c r="F321" s="7">
        <v>162158.06</v>
      </c>
      <c r="G321" s="7">
        <v>7621428.8200000003</v>
      </c>
      <c r="H321" s="7">
        <f t="shared" si="1"/>
        <v>1905357.2050000001</v>
      </c>
      <c r="I321" s="8">
        <v>45498</v>
      </c>
      <c r="J321" s="6" t="s">
        <v>27</v>
      </c>
    </row>
    <row r="322" spans="1:10" x14ac:dyDescent="0.25">
      <c r="A322" s="6" t="s">
        <v>337</v>
      </c>
      <c r="B322" s="6" t="s">
        <v>15</v>
      </c>
      <c r="C322" s="6" t="s">
        <v>12</v>
      </c>
      <c r="D322" s="5">
        <v>47</v>
      </c>
      <c r="E322" s="7">
        <f t="shared" si="0"/>
        <v>118416.93</v>
      </c>
      <c r="F322" s="7">
        <v>157889.24</v>
      </c>
      <c r="G322" s="7">
        <v>7420794.2799999993</v>
      </c>
      <c r="H322" s="7">
        <f t="shared" si="1"/>
        <v>1855198.5699999998</v>
      </c>
      <c r="I322" s="8">
        <v>45668</v>
      </c>
      <c r="J322" s="6" t="s">
        <v>40</v>
      </c>
    </row>
    <row r="323" spans="1:10" x14ac:dyDescent="0.25">
      <c r="A323" s="6" t="s">
        <v>338</v>
      </c>
      <c r="B323" s="6" t="s">
        <v>58</v>
      </c>
      <c r="C323" s="6" t="s">
        <v>54</v>
      </c>
      <c r="D323" s="5">
        <v>47</v>
      </c>
      <c r="E323" s="7">
        <f t="shared" si="0"/>
        <v>169828.88999999998</v>
      </c>
      <c r="F323" s="7">
        <v>226438.52</v>
      </c>
      <c r="G323" s="7">
        <v>10642610.439999999</v>
      </c>
      <c r="H323" s="7">
        <f t="shared" si="1"/>
        <v>2660652.6100000003</v>
      </c>
      <c r="I323" s="8">
        <v>45555</v>
      </c>
      <c r="J323" s="6" t="s">
        <v>13</v>
      </c>
    </row>
    <row r="324" spans="1:10" x14ac:dyDescent="0.25">
      <c r="A324" s="6" t="s">
        <v>339</v>
      </c>
      <c r="B324" s="6" t="s">
        <v>49</v>
      </c>
      <c r="C324" s="6" t="s">
        <v>66</v>
      </c>
      <c r="D324" s="5">
        <v>47</v>
      </c>
      <c r="E324" s="7">
        <f t="shared" si="0"/>
        <v>174698.28749999998</v>
      </c>
      <c r="F324" s="7">
        <v>232931.05</v>
      </c>
      <c r="G324" s="7">
        <v>10947759.35</v>
      </c>
      <c r="H324" s="7">
        <f t="shared" si="1"/>
        <v>2736939.8375000004</v>
      </c>
      <c r="I324" s="8">
        <v>45350</v>
      </c>
      <c r="J324" s="5" t="s">
        <v>10</v>
      </c>
    </row>
    <row r="325" spans="1:10" x14ac:dyDescent="0.25">
      <c r="A325" s="6" t="s">
        <v>340</v>
      </c>
      <c r="B325" s="6" t="s">
        <v>34</v>
      </c>
      <c r="C325" s="6" t="s">
        <v>26</v>
      </c>
      <c r="D325" s="5">
        <v>47</v>
      </c>
      <c r="E325" s="7">
        <f t="shared" si="0"/>
        <v>31852.949999999997</v>
      </c>
      <c r="F325" s="7">
        <v>42470.6</v>
      </c>
      <c r="G325" s="7">
        <v>1996118.2</v>
      </c>
      <c r="H325" s="7">
        <f t="shared" si="1"/>
        <v>499029.55000000005</v>
      </c>
      <c r="I325" s="8">
        <v>45486</v>
      </c>
      <c r="J325" s="6" t="s">
        <v>13</v>
      </c>
    </row>
    <row r="326" spans="1:10" x14ac:dyDescent="0.25">
      <c r="A326" s="6" t="s">
        <v>341</v>
      </c>
      <c r="B326" s="6" t="s">
        <v>11</v>
      </c>
      <c r="C326" s="6" t="s">
        <v>45</v>
      </c>
      <c r="D326" s="5">
        <v>55</v>
      </c>
      <c r="E326" s="7">
        <f t="shared" si="0"/>
        <v>223536.21749999997</v>
      </c>
      <c r="F326" s="7">
        <v>298048.28999999998</v>
      </c>
      <c r="G326" s="7">
        <v>16392655.949999999</v>
      </c>
      <c r="H326" s="7">
        <f t="shared" si="1"/>
        <v>4098163.9875000007</v>
      </c>
      <c r="I326" s="8">
        <v>45751</v>
      </c>
      <c r="J326" s="6" t="s">
        <v>40</v>
      </c>
    </row>
    <row r="327" spans="1:10" x14ac:dyDescent="0.25">
      <c r="A327" s="5" t="s">
        <v>10</v>
      </c>
      <c r="B327" s="6" t="s">
        <v>32</v>
      </c>
      <c r="C327" s="6" t="s">
        <v>12</v>
      </c>
      <c r="D327" s="5">
        <v>47</v>
      </c>
      <c r="E327" s="7">
        <f t="shared" si="0"/>
        <v>52973.527499999997</v>
      </c>
      <c r="F327" s="7">
        <v>70631.37</v>
      </c>
      <c r="G327" s="7">
        <v>3319674.3899999997</v>
      </c>
      <c r="H327" s="7">
        <f t="shared" si="1"/>
        <v>829918.59749999992</v>
      </c>
      <c r="I327" s="8">
        <v>45130</v>
      </c>
      <c r="J327" s="6" t="s">
        <v>17</v>
      </c>
    </row>
    <row r="328" spans="1:10" x14ac:dyDescent="0.25">
      <c r="A328" s="6" t="s">
        <v>342</v>
      </c>
      <c r="B328" s="6" t="s">
        <v>30</v>
      </c>
      <c r="C328" s="6" t="s">
        <v>12</v>
      </c>
      <c r="D328" s="5">
        <v>47</v>
      </c>
      <c r="E328" s="7">
        <f t="shared" si="0"/>
        <v>206220.6825</v>
      </c>
      <c r="F328" s="7">
        <v>274960.90999999997</v>
      </c>
      <c r="G328" s="7">
        <v>12923162.77</v>
      </c>
      <c r="H328" s="7">
        <f t="shared" si="1"/>
        <v>3230790.692499999</v>
      </c>
      <c r="I328" s="8">
        <v>45404</v>
      </c>
      <c r="J328" s="6" t="s">
        <v>13</v>
      </c>
    </row>
    <row r="329" spans="1:10" x14ac:dyDescent="0.25">
      <c r="A329" s="6" t="s">
        <v>343</v>
      </c>
      <c r="B329" s="6" t="s">
        <v>43</v>
      </c>
      <c r="C329" s="6" t="s">
        <v>66</v>
      </c>
      <c r="D329" s="5">
        <v>54</v>
      </c>
      <c r="E329" s="7">
        <f t="shared" si="0"/>
        <v>129783.78749999999</v>
      </c>
      <c r="F329" s="7">
        <v>173045.05</v>
      </c>
      <c r="G329" s="7">
        <v>9344432.6999999993</v>
      </c>
      <c r="H329" s="7">
        <f t="shared" si="1"/>
        <v>2336108.1749999998</v>
      </c>
      <c r="I329" s="8">
        <v>45375</v>
      </c>
      <c r="J329" s="6" t="s">
        <v>17</v>
      </c>
    </row>
    <row r="330" spans="1:10" x14ac:dyDescent="0.25">
      <c r="A330" s="6" t="s">
        <v>344</v>
      </c>
      <c r="B330" s="6" t="s">
        <v>47</v>
      </c>
      <c r="C330" s="6" t="s">
        <v>26</v>
      </c>
      <c r="D330" s="5">
        <v>47</v>
      </c>
      <c r="E330" s="7">
        <f t="shared" si="0"/>
        <v>130090.2825</v>
      </c>
      <c r="F330" s="7">
        <v>173453.71</v>
      </c>
      <c r="G330" s="7">
        <v>8152324.3699999992</v>
      </c>
      <c r="H330" s="7">
        <f t="shared" si="1"/>
        <v>2038081.0924999996</v>
      </c>
      <c r="I330" s="8">
        <v>45641</v>
      </c>
      <c r="J330" s="6" t="s">
        <v>40</v>
      </c>
    </row>
    <row r="331" spans="1:10" x14ac:dyDescent="0.25">
      <c r="A331" s="6" t="s">
        <v>345</v>
      </c>
      <c r="B331" s="6" t="s">
        <v>19</v>
      </c>
      <c r="C331" s="6" t="s">
        <v>23</v>
      </c>
      <c r="D331" s="5">
        <v>47</v>
      </c>
      <c r="E331" s="7">
        <f t="shared" si="0"/>
        <v>173906.39250000002</v>
      </c>
      <c r="F331" s="7">
        <v>231875.19</v>
      </c>
      <c r="G331" s="7">
        <v>10898133.93</v>
      </c>
      <c r="H331" s="7">
        <f t="shared" si="1"/>
        <v>2724533.4824999995</v>
      </c>
      <c r="I331" s="8">
        <v>45203</v>
      </c>
      <c r="J331" s="5" t="s">
        <v>10</v>
      </c>
    </row>
    <row r="332" spans="1:10" x14ac:dyDescent="0.25">
      <c r="A332" s="6" t="s">
        <v>346</v>
      </c>
      <c r="B332" s="6" t="s">
        <v>25</v>
      </c>
      <c r="C332" s="6" t="s">
        <v>16</v>
      </c>
      <c r="D332" s="5">
        <v>47</v>
      </c>
      <c r="E332" s="7">
        <f t="shared" si="0"/>
        <v>118416.93</v>
      </c>
      <c r="F332" s="7">
        <v>157889.24</v>
      </c>
      <c r="G332" s="7">
        <v>7420794.2799999993</v>
      </c>
      <c r="H332" s="7">
        <f t="shared" si="1"/>
        <v>1855198.5699999998</v>
      </c>
      <c r="I332" s="8">
        <v>45441</v>
      </c>
      <c r="J332" s="6" t="s">
        <v>17</v>
      </c>
    </row>
    <row r="333" spans="1:10" x14ac:dyDescent="0.25">
      <c r="A333" s="6" t="s">
        <v>347</v>
      </c>
      <c r="B333" s="6" t="s">
        <v>76</v>
      </c>
      <c r="C333" s="6" t="s">
        <v>23</v>
      </c>
      <c r="D333" s="5">
        <v>47</v>
      </c>
      <c r="E333" s="7">
        <f t="shared" si="0"/>
        <v>184204.16999999998</v>
      </c>
      <c r="F333" s="7">
        <v>245605.56</v>
      </c>
      <c r="G333" s="7">
        <v>11543461.32</v>
      </c>
      <c r="H333" s="7">
        <f t="shared" si="1"/>
        <v>2885865.3300000005</v>
      </c>
      <c r="I333" s="8">
        <v>45571</v>
      </c>
      <c r="J333" s="6" t="s">
        <v>40</v>
      </c>
    </row>
    <row r="334" spans="1:10" x14ac:dyDescent="0.25">
      <c r="A334" s="6" t="s">
        <v>348</v>
      </c>
      <c r="B334" s="6" t="s">
        <v>32</v>
      </c>
      <c r="C334" s="6" t="s">
        <v>12</v>
      </c>
      <c r="D334" s="5">
        <v>47</v>
      </c>
      <c r="E334" s="7">
        <f t="shared" si="0"/>
        <v>53589.569999999992</v>
      </c>
      <c r="F334" s="7">
        <v>71452.759999999995</v>
      </c>
      <c r="G334" s="7">
        <v>3358279.7199999997</v>
      </c>
      <c r="H334" s="7">
        <f t="shared" si="1"/>
        <v>839569.93000000017</v>
      </c>
      <c r="I334" s="8">
        <v>45356</v>
      </c>
      <c r="J334" s="6" t="s">
        <v>27</v>
      </c>
    </row>
    <row r="335" spans="1:10" x14ac:dyDescent="0.25">
      <c r="A335" s="6" t="s">
        <v>349</v>
      </c>
      <c r="B335" s="6" t="s">
        <v>21</v>
      </c>
      <c r="C335" s="6" t="s">
        <v>12</v>
      </c>
      <c r="D335" s="5">
        <v>71</v>
      </c>
      <c r="E335" s="7">
        <f t="shared" si="0"/>
        <v>197204.5275</v>
      </c>
      <c r="F335" s="7">
        <v>262939.37</v>
      </c>
      <c r="G335" s="7">
        <v>18668695.27</v>
      </c>
      <c r="H335" s="7">
        <f t="shared" si="1"/>
        <v>4667173.8174999999</v>
      </c>
      <c r="I335" s="8">
        <v>45736</v>
      </c>
      <c r="J335" s="5" t="s">
        <v>10</v>
      </c>
    </row>
    <row r="336" spans="1:10" x14ac:dyDescent="0.25">
      <c r="A336" s="6" t="s">
        <v>350</v>
      </c>
      <c r="B336" s="6" t="s">
        <v>76</v>
      </c>
      <c r="C336" s="6" t="s">
        <v>39</v>
      </c>
      <c r="D336" s="5">
        <v>47</v>
      </c>
      <c r="E336" s="7">
        <f t="shared" si="0"/>
        <v>221786.86499999999</v>
      </c>
      <c r="F336" s="7">
        <v>295715.82</v>
      </c>
      <c r="G336" s="7">
        <v>13898643.540000001</v>
      </c>
      <c r="H336" s="7">
        <f t="shared" si="1"/>
        <v>3474660.8850000007</v>
      </c>
      <c r="I336" s="8">
        <v>45816</v>
      </c>
      <c r="J336" s="6" t="s">
        <v>27</v>
      </c>
    </row>
    <row r="337" spans="1:10" x14ac:dyDescent="0.25">
      <c r="A337" s="6" t="s">
        <v>351</v>
      </c>
      <c r="B337" s="6" t="s">
        <v>88</v>
      </c>
      <c r="C337" s="6" t="s">
        <v>66</v>
      </c>
      <c r="D337" s="5">
        <v>47</v>
      </c>
      <c r="E337" s="7">
        <f t="shared" si="0"/>
        <v>117461.0175</v>
      </c>
      <c r="F337" s="7">
        <v>156614.69</v>
      </c>
      <c r="G337" s="7">
        <v>7360890.4299999997</v>
      </c>
      <c r="H337" s="7">
        <f t="shared" si="1"/>
        <v>1840222.6074999999</v>
      </c>
      <c r="I337" s="8">
        <v>45681</v>
      </c>
      <c r="J337" s="5" t="s">
        <v>10</v>
      </c>
    </row>
    <row r="338" spans="1:10" x14ac:dyDescent="0.25">
      <c r="A338" s="6" t="s">
        <v>352</v>
      </c>
      <c r="B338" s="6" t="s">
        <v>62</v>
      </c>
      <c r="C338" s="6" t="s">
        <v>26</v>
      </c>
      <c r="D338" s="5">
        <v>47</v>
      </c>
      <c r="E338" s="7">
        <f t="shared" si="0"/>
        <v>93270.959999999992</v>
      </c>
      <c r="F338" s="7">
        <v>124361.28</v>
      </c>
      <c r="G338" s="7">
        <v>5844980.1600000001</v>
      </c>
      <c r="H338" s="7">
        <f t="shared" si="1"/>
        <v>1461245.0400000003</v>
      </c>
      <c r="I338" s="8">
        <v>45795</v>
      </c>
      <c r="J338" s="5" t="s">
        <v>10</v>
      </c>
    </row>
    <row r="339" spans="1:10" x14ac:dyDescent="0.25">
      <c r="A339" s="6" t="s">
        <v>353</v>
      </c>
      <c r="B339" s="6" t="s">
        <v>58</v>
      </c>
      <c r="C339" s="6" t="s">
        <v>16</v>
      </c>
      <c r="D339" s="5">
        <v>47</v>
      </c>
      <c r="E339" s="7">
        <f t="shared" si="0"/>
        <v>62181.450000000004</v>
      </c>
      <c r="F339" s="7">
        <v>82908.600000000006</v>
      </c>
      <c r="G339" s="7">
        <v>3896704.2</v>
      </c>
      <c r="H339" s="7">
        <f t="shared" si="1"/>
        <v>974176.05</v>
      </c>
      <c r="I339" s="8">
        <v>45652</v>
      </c>
      <c r="J339" s="6" t="s">
        <v>13</v>
      </c>
    </row>
    <row r="340" spans="1:10" x14ac:dyDescent="0.25">
      <c r="A340" s="5" t="s">
        <v>10</v>
      </c>
      <c r="B340" s="6" t="s">
        <v>30</v>
      </c>
      <c r="C340" s="6" t="s">
        <v>23</v>
      </c>
      <c r="D340" s="5">
        <v>47</v>
      </c>
      <c r="E340" s="7">
        <f t="shared" si="0"/>
        <v>125427.81</v>
      </c>
      <c r="F340" s="7">
        <v>167237.07999999999</v>
      </c>
      <c r="G340" s="7">
        <v>7860142.7599999998</v>
      </c>
      <c r="H340" s="7">
        <f t="shared" si="1"/>
        <v>1965035.6899999995</v>
      </c>
      <c r="I340" s="8">
        <v>45606</v>
      </c>
      <c r="J340" s="5" t="s">
        <v>10</v>
      </c>
    </row>
    <row r="341" spans="1:10" x14ac:dyDescent="0.25">
      <c r="A341" s="6" t="s">
        <v>354</v>
      </c>
      <c r="B341" s="6" t="s">
        <v>88</v>
      </c>
      <c r="C341" s="6" t="s">
        <v>66</v>
      </c>
      <c r="D341" s="5">
        <v>47</v>
      </c>
      <c r="E341" s="7">
        <f t="shared" si="0"/>
        <v>133278.22499999998</v>
      </c>
      <c r="F341" s="7">
        <v>177704.3</v>
      </c>
      <c r="G341" s="7">
        <v>8352102.0999999996</v>
      </c>
      <c r="H341" s="7">
        <f t="shared" si="1"/>
        <v>2088025.5250000006</v>
      </c>
      <c r="I341" s="8">
        <v>45138</v>
      </c>
      <c r="J341" s="6" t="s">
        <v>13</v>
      </c>
    </row>
    <row r="342" spans="1:10" x14ac:dyDescent="0.25">
      <c r="A342" s="6" t="s">
        <v>355</v>
      </c>
      <c r="B342" s="6" t="s">
        <v>49</v>
      </c>
      <c r="C342" s="6" t="s">
        <v>54</v>
      </c>
      <c r="D342" s="5">
        <v>47</v>
      </c>
      <c r="E342" s="7">
        <f t="shared" si="0"/>
        <v>118416.93</v>
      </c>
      <c r="F342" s="7">
        <v>157889.24</v>
      </c>
      <c r="G342" s="7">
        <v>7420794.2799999993</v>
      </c>
      <c r="H342" s="7">
        <f t="shared" si="1"/>
        <v>1855198.5699999998</v>
      </c>
      <c r="I342" s="8">
        <v>45581</v>
      </c>
      <c r="J342" s="6" t="s">
        <v>17</v>
      </c>
    </row>
    <row r="343" spans="1:10" x14ac:dyDescent="0.25">
      <c r="A343" s="6" t="s">
        <v>356</v>
      </c>
      <c r="B343" s="6" t="s">
        <v>47</v>
      </c>
      <c r="C343" s="6" t="s">
        <v>39</v>
      </c>
      <c r="D343" s="5">
        <v>47</v>
      </c>
      <c r="E343" s="7">
        <f t="shared" si="0"/>
        <v>165522.02249999999</v>
      </c>
      <c r="F343" s="7">
        <v>220696.03</v>
      </c>
      <c r="G343" s="7">
        <v>10372713.41</v>
      </c>
      <c r="H343" s="7">
        <f t="shared" si="1"/>
        <v>2593178.3525000005</v>
      </c>
      <c r="I343" s="8">
        <v>45486</v>
      </c>
      <c r="J343" s="5" t="s">
        <v>10</v>
      </c>
    </row>
    <row r="344" spans="1:10" x14ac:dyDescent="0.25">
      <c r="A344" s="6" t="s">
        <v>357</v>
      </c>
      <c r="B344" s="6" t="s">
        <v>15</v>
      </c>
      <c r="C344" s="6" t="s">
        <v>26</v>
      </c>
      <c r="D344" s="5">
        <v>47</v>
      </c>
      <c r="E344" s="7">
        <f t="shared" si="0"/>
        <v>39714.292499999996</v>
      </c>
      <c r="F344" s="7">
        <v>52952.39</v>
      </c>
      <c r="G344" s="7">
        <v>2488762.33</v>
      </c>
      <c r="H344" s="7">
        <f t="shared" si="1"/>
        <v>622190.58250000014</v>
      </c>
      <c r="I344" s="8">
        <v>45324</v>
      </c>
      <c r="J344" s="6" t="s">
        <v>17</v>
      </c>
    </row>
    <row r="345" spans="1:10" x14ac:dyDescent="0.25">
      <c r="A345" s="6" t="s">
        <v>358</v>
      </c>
      <c r="B345" s="6" t="s">
        <v>30</v>
      </c>
      <c r="C345" s="6" t="s">
        <v>39</v>
      </c>
      <c r="D345" s="5">
        <v>47</v>
      </c>
      <c r="E345" s="7">
        <f t="shared" si="0"/>
        <v>152839.245</v>
      </c>
      <c r="F345" s="7">
        <v>203785.66</v>
      </c>
      <c r="G345" s="7">
        <v>9577926.0199999996</v>
      </c>
      <c r="H345" s="7">
        <f t="shared" si="1"/>
        <v>2394481.5050000004</v>
      </c>
      <c r="I345" s="8">
        <v>45627</v>
      </c>
      <c r="J345" s="5" t="s">
        <v>10</v>
      </c>
    </row>
    <row r="346" spans="1:10" x14ac:dyDescent="0.25">
      <c r="A346" s="6" t="s">
        <v>359</v>
      </c>
      <c r="B346" s="6" t="s">
        <v>88</v>
      </c>
      <c r="C346" s="6" t="s">
        <v>12</v>
      </c>
      <c r="D346" s="5">
        <v>18</v>
      </c>
      <c r="E346" s="7">
        <f t="shared" si="0"/>
        <v>125232.95249999998</v>
      </c>
      <c r="F346" s="7">
        <v>166977.26999999999</v>
      </c>
      <c r="G346" s="7">
        <v>3005590.86</v>
      </c>
      <c r="H346" s="7">
        <f t="shared" si="1"/>
        <v>751397.71500000008</v>
      </c>
      <c r="I346" s="8">
        <v>45726</v>
      </c>
      <c r="J346" s="6" t="s">
        <v>13</v>
      </c>
    </row>
    <row r="347" spans="1:10" x14ac:dyDescent="0.25">
      <c r="A347" s="6" t="s">
        <v>360</v>
      </c>
      <c r="B347" s="6" t="s">
        <v>11</v>
      </c>
      <c r="C347" s="6" t="s">
        <v>39</v>
      </c>
      <c r="D347" s="5">
        <v>47</v>
      </c>
      <c r="E347" s="7">
        <f t="shared" si="0"/>
        <v>10906.342500000001</v>
      </c>
      <c r="F347" s="7">
        <v>14541.79</v>
      </c>
      <c r="G347" s="7">
        <v>683464.13</v>
      </c>
      <c r="H347" s="7">
        <f t="shared" si="1"/>
        <v>170866.0325</v>
      </c>
      <c r="I347" s="8">
        <v>45720</v>
      </c>
      <c r="J347" s="6" t="s">
        <v>27</v>
      </c>
    </row>
    <row r="348" spans="1:10" x14ac:dyDescent="0.25">
      <c r="A348" s="6" t="s">
        <v>361</v>
      </c>
      <c r="B348" s="6" t="s">
        <v>25</v>
      </c>
      <c r="C348" s="6" t="s">
        <v>16</v>
      </c>
      <c r="D348" s="5">
        <v>47</v>
      </c>
      <c r="E348" s="7">
        <f t="shared" si="0"/>
        <v>77739.180000000008</v>
      </c>
      <c r="F348" s="7">
        <v>103652.24</v>
      </c>
      <c r="G348" s="7">
        <v>4871655.28</v>
      </c>
      <c r="H348" s="7">
        <f t="shared" si="1"/>
        <v>1217913.8199999998</v>
      </c>
      <c r="I348" s="8">
        <v>45567</v>
      </c>
      <c r="J348" s="5" t="s">
        <v>10</v>
      </c>
    </row>
    <row r="349" spans="1:10" x14ac:dyDescent="0.25">
      <c r="A349" s="6" t="s">
        <v>362</v>
      </c>
      <c r="B349" s="6" t="s">
        <v>19</v>
      </c>
      <c r="C349" s="6" t="s">
        <v>12</v>
      </c>
      <c r="D349" s="5">
        <v>47</v>
      </c>
      <c r="E349" s="7">
        <f t="shared" si="0"/>
        <v>144879.87</v>
      </c>
      <c r="F349" s="7">
        <v>193173.16</v>
      </c>
      <c r="G349" s="7">
        <v>9079138.5199999996</v>
      </c>
      <c r="H349" s="7">
        <f t="shared" si="1"/>
        <v>2269784.6300000004</v>
      </c>
      <c r="I349" s="8">
        <v>45566</v>
      </c>
      <c r="J349" s="6" t="s">
        <v>40</v>
      </c>
    </row>
    <row r="350" spans="1:10" x14ac:dyDescent="0.25">
      <c r="A350" s="6" t="s">
        <v>363</v>
      </c>
      <c r="B350" s="6" t="s">
        <v>11</v>
      </c>
      <c r="C350" s="6" t="s">
        <v>23</v>
      </c>
      <c r="D350" s="5">
        <v>47</v>
      </c>
      <c r="E350" s="7">
        <f t="shared" si="0"/>
        <v>85991.857499999998</v>
      </c>
      <c r="F350" s="7">
        <v>114655.81</v>
      </c>
      <c r="G350" s="7">
        <v>5388823.0700000003</v>
      </c>
      <c r="H350" s="7">
        <f t="shared" si="1"/>
        <v>1347205.7675000001</v>
      </c>
      <c r="I350" s="8">
        <v>45294</v>
      </c>
      <c r="J350" s="6" t="s">
        <v>27</v>
      </c>
    </row>
    <row r="351" spans="1:10" x14ac:dyDescent="0.25">
      <c r="A351" s="6" t="s">
        <v>364</v>
      </c>
      <c r="B351" s="6" t="s">
        <v>11</v>
      </c>
      <c r="C351" s="6" t="s">
        <v>23</v>
      </c>
      <c r="D351" s="5">
        <v>47</v>
      </c>
      <c r="E351" s="7">
        <f t="shared" si="0"/>
        <v>118182.5175</v>
      </c>
      <c r="F351" s="7">
        <v>157576.69</v>
      </c>
      <c r="G351" s="7">
        <v>7406104.4299999997</v>
      </c>
      <c r="H351" s="7">
        <f t="shared" si="1"/>
        <v>1851526.1074999999</v>
      </c>
      <c r="I351" s="8">
        <v>45678</v>
      </c>
      <c r="J351" s="6" t="s">
        <v>13</v>
      </c>
    </row>
    <row r="352" spans="1:10" x14ac:dyDescent="0.25">
      <c r="A352" s="6" t="s">
        <v>365</v>
      </c>
      <c r="B352" s="6" t="s">
        <v>30</v>
      </c>
      <c r="C352" s="6" t="s">
        <v>54</v>
      </c>
      <c r="D352" s="5">
        <v>24</v>
      </c>
      <c r="E352" s="7">
        <f t="shared" si="0"/>
        <v>118416.93</v>
      </c>
      <c r="F352" s="7">
        <v>157889.24</v>
      </c>
      <c r="G352" s="7">
        <v>3789341.76</v>
      </c>
      <c r="H352" s="7">
        <f t="shared" si="1"/>
        <v>947335.44</v>
      </c>
      <c r="I352" s="8">
        <v>45157</v>
      </c>
      <c r="J352" s="6" t="s">
        <v>40</v>
      </c>
    </row>
    <row r="353" spans="1:10" x14ac:dyDescent="0.25">
      <c r="A353" s="5" t="s">
        <v>10</v>
      </c>
      <c r="B353" s="6" t="s">
        <v>25</v>
      </c>
      <c r="C353" s="6" t="s">
        <v>12</v>
      </c>
      <c r="D353" s="5">
        <v>47</v>
      </c>
      <c r="E353" s="7">
        <f t="shared" si="0"/>
        <v>156783.2775</v>
      </c>
      <c r="F353" s="7">
        <v>209044.37</v>
      </c>
      <c r="G353" s="7">
        <v>9825085.3900000006</v>
      </c>
      <c r="H353" s="7">
        <f t="shared" si="1"/>
        <v>2456271.3475000001</v>
      </c>
      <c r="I353" s="8">
        <v>45571</v>
      </c>
      <c r="J353" s="6" t="s">
        <v>17</v>
      </c>
    </row>
    <row r="354" spans="1:10" x14ac:dyDescent="0.25">
      <c r="A354" s="6" t="s">
        <v>366</v>
      </c>
      <c r="B354" s="6" t="s">
        <v>19</v>
      </c>
      <c r="C354" s="6" t="s">
        <v>12</v>
      </c>
      <c r="D354" s="5">
        <v>47</v>
      </c>
      <c r="E354" s="7">
        <f t="shared" si="0"/>
        <v>92080.214999999997</v>
      </c>
      <c r="F354" s="7">
        <v>122773.62</v>
      </c>
      <c r="G354" s="7">
        <v>5770360.1399999997</v>
      </c>
      <c r="H354" s="7">
        <f t="shared" si="1"/>
        <v>1442590.0349999999</v>
      </c>
      <c r="I354" s="8">
        <v>45491</v>
      </c>
      <c r="J354" s="6" t="s">
        <v>13</v>
      </c>
    </row>
    <row r="355" spans="1:10" x14ac:dyDescent="0.25">
      <c r="A355" s="6" t="s">
        <v>367</v>
      </c>
      <c r="B355" s="6" t="s">
        <v>88</v>
      </c>
      <c r="C355" s="6" t="s">
        <v>26</v>
      </c>
      <c r="D355" s="5">
        <v>47</v>
      </c>
      <c r="E355" s="7">
        <f t="shared" si="0"/>
        <v>67737.450000000012</v>
      </c>
      <c r="F355" s="7">
        <v>90316.6</v>
      </c>
      <c r="G355" s="7">
        <v>4244880.2</v>
      </c>
      <c r="H355" s="7">
        <f t="shared" si="1"/>
        <v>1061220.0499999998</v>
      </c>
      <c r="I355" s="8">
        <v>45250</v>
      </c>
      <c r="J355" s="6" t="s">
        <v>27</v>
      </c>
    </row>
    <row r="356" spans="1:10" x14ac:dyDescent="0.25">
      <c r="A356" s="6" t="s">
        <v>368</v>
      </c>
      <c r="B356" s="6" t="s">
        <v>49</v>
      </c>
      <c r="C356" s="6" t="s">
        <v>12</v>
      </c>
      <c r="D356" s="5">
        <v>26</v>
      </c>
      <c r="E356" s="7">
        <f t="shared" si="0"/>
        <v>41678.8125</v>
      </c>
      <c r="F356" s="7">
        <v>55571.75</v>
      </c>
      <c r="G356" s="7">
        <v>1444865.5</v>
      </c>
      <c r="H356" s="7">
        <f t="shared" si="1"/>
        <v>361216.375</v>
      </c>
      <c r="I356" s="8">
        <v>45525</v>
      </c>
      <c r="J356" s="6" t="s">
        <v>17</v>
      </c>
    </row>
    <row r="357" spans="1:10" x14ac:dyDescent="0.25">
      <c r="A357" s="6" t="s">
        <v>369</v>
      </c>
      <c r="B357" s="6" t="s">
        <v>43</v>
      </c>
      <c r="C357" s="6" t="s">
        <v>16</v>
      </c>
      <c r="D357" s="5">
        <v>26</v>
      </c>
      <c r="E357" s="7">
        <f t="shared" si="0"/>
        <v>121207.13999999998</v>
      </c>
      <c r="F357" s="7">
        <v>161609.51999999999</v>
      </c>
      <c r="G357" s="7">
        <v>4201847.5199999996</v>
      </c>
      <c r="H357" s="7">
        <f t="shared" si="1"/>
        <v>1050461.8800000001</v>
      </c>
      <c r="I357" s="8">
        <v>45606</v>
      </c>
      <c r="J357" s="6" t="s">
        <v>17</v>
      </c>
    </row>
    <row r="358" spans="1:10" x14ac:dyDescent="0.25">
      <c r="A358" s="6" t="s">
        <v>370</v>
      </c>
      <c r="B358" s="6" t="s">
        <v>65</v>
      </c>
      <c r="C358" s="6" t="s">
        <v>54</v>
      </c>
      <c r="D358" s="5">
        <v>47</v>
      </c>
      <c r="E358" s="7">
        <f t="shared" si="0"/>
        <v>54502.477500000001</v>
      </c>
      <c r="F358" s="7">
        <v>72669.97</v>
      </c>
      <c r="G358" s="7">
        <v>3415488.59</v>
      </c>
      <c r="H358" s="7">
        <f t="shared" si="1"/>
        <v>853872.14749999996</v>
      </c>
      <c r="I358" s="8">
        <v>45678</v>
      </c>
      <c r="J358" s="6" t="s">
        <v>13</v>
      </c>
    </row>
    <row r="359" spans="1:10" x14ac:dyDescent="0.25">
      <c r="A359" s="6" t="s">
        <v>371</v>
      </c>
      <c r="B359" s="6" t="s">
        <v>43</v>
      </c>
      <c r="C359" s="6" t="s">
        <v>26</v>
      </c>
      <c r="D359" s="5">
        <v>47</v>
      </c>
      <c r="E359" s="7">
        <f t="shared" si="0"/>
        <v>50993.017500000002</v>
      </c>
      <c r="F359" s="7">
        <v>67990.69</v>
      </c>
      <c r="G359" s="7">
        <v>3195562.43</v>
      </c>
      <c r="H359" s="7">
        <f t="shared" si="1"/>
        <v>798890.60750000004</v>
      </c>
      <c r="I359" s="8">
        <v>45599</v>
      </c>
      <c r="J359" s="6" t="s">
        <v>27</v>
      </c>
    </row>
    <row r="360" spans="1:10" x14ac:dyDescent="0.25">
      <c r="A360" s="6" t="s">
        <v>372</v>
      </c>
      <c r="B360" s="6" t="s">
        <v>19</v>
      </c>
      <c r="C360" s="6" t="s">
        <v>16</v>
      </c>
      <c r="D360" s="5">
        <v>47</v>
      </c>
      <c r="E360" s="7">
        <f t="shared" si="0"/>
        <v>193000.2</v>
      </c>
      <c r="F360" s="7">
        <v>257333.6</v>
      </c>
      <c r="G360" s="7">
        <v>12094679.200000001</v>
      </c>
      <c r="H360" s="7">
        <f t="shared" si="1"/>
        <v>3023669.8</v>
      </c>
      <c r="I360" s="8">
        <v>45719</v>
      </c>
      <c r="J360" s="6" t="s">
        <v>13</v>
      </c>
    </row>
    <row r="361" spans="1:10" x14ac:dyDescent="0.25">
      <c r="A361" s="6" t="s">
        <v>373</v>
      </c>
      <c r="B361" s="6" t="s">
        <v>47</v>
      </c>
      <c r="C361" s="6" t="s">
        <v>39</v>
      </c>
      <c r="D361" s="5">
        <v>33</v>
      </c>
      <c r="E361" s="7">
        <f t="shared" si="0"/>
        <v>32800.012499999997</v>
      </c>
      <c r="F361" s="7">
        <v>43733.35</v>
      </c>
      <c r="G361" s="7">
        <v>1443200.55</v>
      </c>
      <c r="H361" s="7">
        <f t="shared" si="1"/>
        <v>360800.13750000007</v>
      </c>
      <c r="I361" s="8">
        <v>45771</v>
      </c>
      <c r="J361" s="6" t="s">
        <v>40</v>
      </c>
    </row>
    <row r="362" spans="1:10" x14ac:dyDescent="0.25">
      <c r="A362" s="6" t="s">
        <v>374</v>
      </c>
      <c r="B362" s="6" t="s">
        <v>129</v>
      </c>
      <c r="C362" s="6" t="s">
        <v>23</v>
      </c>
      <c r="D362" s="5">
        <v>47</v>
      </c>
      <c r="E362" s="7">
        <f t="shared" si="0"/>
        <v>118416.93</v>
      </c>
      <c r="F362" s="7">
        <v>157889.24</v>
      </c>
      <c r="G362" s="7">
        <v>7420794.2799999993</v>
      </c>
      <c r="H362" s="7">
        <f t="shared" si="1"/>
        <v>1855198.5699999998</v>
      </c>
      <c r="I362" s="8">
        <v>45413</v>
      </c>
      <c r="J362" s="6" t="s">
        <v>40</v>
      </c>
    </row>
    <row r="363" spans="1:10" x14ac:dyDescent="0.25">
      <c r="A363" s="6" t="s">
        <v>375</v>
      </c>
      <c r="B363" s="6" t="s">
        <v>19</v>
      </c>
      <c r="C363" s="6" t="s">
        <v>54</v>
      </c>
      <c r="D363" s="5">
        <v>47</v>
      </c>
      <c r="E363" s="7">
        <f t="shared" si="0"/>
        <v>104382.03</v>
      </c>
      <c r="F363" s="7">
        <v>139176.04</v>
      </c>
      <c r="G363" s="7">
        <v>6541273.8800000008</v>
      </c>
      <c r="H363" s="7">
        <f t="shared" si="1"/>
        <v>1635318.4700000004</v>
      </c>
      <c r="I363" s="8">
        <v>45232</v>
      </c>
      <c r="J363" s="5" t="s">
        <v>10</v>
      </c>
    </row>
    <row r="364" spans="1:10" x14ac:dyDescent="0.25">
      <c r="A364" s="6" t="s">
        <v>376</v>
      </c>
      <c r="B364" s="6" t="s">
        <v>38</v>
      </c>
      <c r="C364" s="6" t="s">
        <v>45</v>
      </c>
      <c r="D364" s="5">
        <v>46</v>
      </c>
      <c r="E364" s="7">
        <f t="shared" si="0"/>
        <v>13318.7775</v>
      </c>
      <c r="F364" s="7">
        <v>17758.37</v>
      </c>
      <c r="G364" s="7">
        <v>816885.02</v>
      </c>
      <c r="H364" s="7">
        <f t="shared" si="1"/>
        <v>204221.25499999995</v>
      </c>
      <c r="I364" s="8">
        <v>45756</v>
      </c>
      <c r="J364" s="6" t="s">
        <v>17</v>
      </c>
    </row>
    <row r="365" spans="1:10" x14ac:dyDescent="0.25">
      <c r="A365" s="6" t="s">
        <v>377</v>
      </c>
      <c r="B365" s="6" t="s">
        <v>32</v>
      </c>
      <c r="C365" s="6" t="s">
        <v>23</v>
      </c>
      <c r="D365" s="5">
        <v>47</v>
      </c>
      <c r="E365" s="7">
        <f t="shared" si="0"/>
        <v>93072.682499999995</v>
      </c>
      <c r="F365" s="7">
        <v>124096.91</v>
      </c>
      <c r="G365" s="7">
        <v>5832554.7700000005</v>
      </c>
      <c r="H365" s="7">
        <f t="shared" si="1"/>
        <v>1458138.6925000004</v>
      </c>
      <c r="I365" s="8">
        <v>45646</v>
      </c>
      <c r="J365" s="5" t="s">
        <v>10</v>
      </c>
    </row>
    <row r="366" spans="1:10" x14ac:dyDescent="0.25">
      <c r="A366" s="5" t="s">
        <v>10</v>
      </c>
      <c r="B366" s="6" t="s">
        <v>36</v>
      </c>
      <c r="C366" s="6" t="s">
        <v>66</v>
      </c>
      <c r="D366" s="5">
        <v>35</v>
      </c>
      <c r="E366" s="7">
        <f t="shared" si="0"/>
        <v>93933.082500000004</v>
      </c>
      <c r="F366" s="7">
        <v>125244.11</v>
      </c>
      <c r="G366" s="7">
        <v>4383543.8499999996</v>
      </c>
      <c r="H366" s="7">
        <f t="shared" si="1"/>
        <v>1095885.9624999999</v>
      </c>
      <c r="I366" s="8">
        <v>45306</v>
      </c>
      <c r="J366" s="6" t="s">
        <v>27</v>
      </c>
    </row>
    <row r="367" spans="1:10" x14ac:dyDescent="0.25">
      <c r="A367" s="6" t="s">
        <v>378</v>
      </c>
      <c r="B367" s="6" t="s">
        <v>19</v>
      </c>
      <c r="C367" s="6" t="s">
        <v>23</v>
      </c>
      <c r="D367" s="5">
        <v>47</v>
      </c>
      <c r="E367" s="7">
        <f t="shared" si="0"/>
        <v>119424.41249999999</v>
      </c>
      <c r="F367" s="7">
        <v>159232.54999999999</v>
      </c>
      <c r="G367" s="7">
        <v>7483929.8499999996</v>
      </c>
      <c r="H367" s="7">
        <f t="shared" si="1"/>
        <v>1870982.4624999999</v>
      </c>
      <c r="I367" s="8">
        <v>45142</v>
      </c>
      <c r="J367" s="6" t="s">
        <v>40</v>
      </c>
    </row>
    <row r="368" spans="1:10" x14ac:dyDescent="0.25">
      <c r="A368" s="6" t="s">
        <v>379</v>
      </c>
      <c r="B368" s="6" t="s">
        <v>38</v>
      </c>
      <c r="C368" s="6" t="s">
        <v>23</v>
      </c>
      <c r="D368" s="5">
        <v>47</v>
      </c>
      <c r="E368" s="7">
        <f t="shared" si="0"/>
        <v>87623.632499999992</v>
      </c>
      <c r="F368" s="7">
        <v>116831.51</v>
      </c>
      <c r="G368" s="7">
        <v>5491080.9699999997</v>
      </c>
      <c r="H368" s="7">
        <f t="shared" si="1"/>
        <v>1372770.2425000002</v>
      </c>
      <c r="I368" s="8">
        <v>45562</v>
      </c>
      <c r="J368" s="5" t="s">
        <v>10</v>
      </c>
    </row>
    <row r="369" spans="1:10" x14ac:dyDescent="0.25">
      <c r="A369" s="6" t="s">
        <v>380</v>
      </c>
      <c r="B369" s="6" t="s">
        <v>15</v>
      </c>
      <c r="C369" s="6" t="s">
        <v>12</v>
      </c>
      <c r="D369" s="5">
        <v>47</v>
      </c>
      <c r="E369" s="7">
        <f t="shared" si="0"/>
        <v>57653.399999999994</v>
      </c>
      <c r="F369" s="7">
        <v>76871.199999999997</v>
      </c>
      <c r="G369" s="7">
        <v>3612946.4</v>
      </c>
      <c r="H369" s="7">
        <f t="shared" si="1"/>
        <v>903236.60000000009</v>
      </c>
      <c r="I369" s="8">
        <v>45662</v>
      </c>
      <c r="J369" s="6" t="s">
        <v>40</v>
      </c>
    </row>
    <row r="370" spans="1:10" x14ac:dyDescent="0.25">
      <c r="A370" s="6" t="s">
        <v>381</v>
      </c>
      <c r="B370" s="6" t="s">
        <v>65</v>
      </c>
      <c r="C370" s="6" t="s">
        <v>16</v>
      </c>
      <c r="D370" s="5">
        <v>44</v>
      </c>
      <c r="E370" s="7">
        <f t="shared" si="0"/>
        <v>74560.327499999999</v>
      </c>
      <c r="F370" s="7">
        <v>99413.77</v>
      </c>
      <c r="G370" s="7">
        <v>4374205.88</v>
      </c>
      <c r="H370" s="7">
        <f t="shared" si="1"/>
        <v>1093551.4700000002</v>
      </c>
      <c r="I370" s="8">
        <v>45203</v>
      </c>
      <c r="J370" s="6" t="s">
        <v>40</v>
      </c>
    </row>
    <row r="371" spans="1:10" x14ac:dyDescent="0.25">
      <c r="A371" s="6" t="s">
        <v>382</v>
      </c>
      <c r="B371" s="6" t="s">
        <v>25</v>
      </c>
      <c r="C371" s="6" t="s">
        <v>12</v>
      </c>
      <c r="D371" s="5">
        <v>47</v>
      </c>
      <c r="E371" s="7">
        <f t="shared" si="0"/>
        <v>18136.192500000001</v>
      </c>
      <c r="F371" s="7">
        <v>24181.59</v>
      </c>
      <c r="G371" s="7">
        <v>1136534.73</v>
      </c>
      <c r="H371" s="7">
        <f t="shared" si="1"/>
        <v>284133.68249999994</v>
      </c>
      <c r="I371" s="8">
        <v>45266</v>
      </c>
      <c r="J371" s="6" t="s">
        <v>40</v>
      </c>
    </row>
    <row r="372" spans="1:10" x14ac:dyDescent="0.25">
      <c r="A372" s="6" t="s">
        <v>383</v>
      </c>
      <c r="B372" s="6" t="s">
        <v>19</v>
      </c>
      <c r="C372" s="6" t="s">
        <v>12</v>
      </c>
      <c r="D372" s="5">
        <v>47</v>
      </c>
      <c r="E372" s="7">
        <f t="shared" si="0"/>
        <v>118416.93</v>
      </c>
      <c r="F372" s="7">
        <v>157889.24</v>
      </c>
      <c r="G372" s="7">
        <v>7420794.2799999993</v>
      </c>
      <c r="H372" s="7">
        <f t="shared" si="1"/>
        <v>1855198.5699999998</v>
      </c>
      <c r="I372" s="8">
        <v>45132</v>
      </c>
      <c r="J372" s="6" t="s">
        <v>13</v>
      </c>
    </row>
    <row r="373" spans="1:10" x14ac:dyDescent="0.25">
      <c r="A373" s="6" t="s">
        <v>384</v>
      </c>
      <c r="B373" s="6" t="s">
        <v>62</v>
      </c>
      <c r="C373" s="6" t="s">
        <v>45</v>
      </c>
      <c r="D373" s="5">
        <v>47</v>
      </c>
      <c r="E373" s="7">
        <f t="shared" si="0"/>
        <v>101408.36249999999</v>
      </c>
      <c r="F373" s="7">
        <v>135211.15</v>
      </c>
      <c r="G373" s="7">
        <v>6354924.0499999998</v>
      </c>
      <c r="H373" s="7">
        <f t="shared" si="1"/>
        <v>1588731.0125000002</v>
      </c>
      <c r="I373" s="8">
        <v>45460</v>
      </c>
      <c r="J373" s="5" t="s">
        <v>10</v>
      </c>
    </row>
    <row r="374" spans="1:10" x14ac:dyDescent="0.25">
      <c r="A374" s="6" t="s">
        <v>385</v>
      </c>
      <c r="B374" s="6" t="s">
        <v>58</v>
      </c>
      <c r="C374" s="6" t="s">
        <v>45</v>
      </c>
      <c r="D374" s="5">
        <v>47</v>
      </c>
      <c r="E374" s="7">
        <f t="shared" si="0"/>
        <v>83728.282500000001</v>
      </c>
      <c r="F374" s="7">
        <v>111637.71</v>
      </c>
      <c r="G374" s="7">
        <v>5246972.37</v>
      </c>
      <c r="H374" s="7">
        <f t="shared" si="1"/>
        <v>1311743.0925000003</v>
      </c>
      <c r="I374" s="8">
        <v>45361</v>
      </c>
      <c r="J374" s="6" t="s">
        <v>17</v>
      </c>
    </row>
    <row r="375" spans="1:10" x14ac:dyDescent="0.25">
      <c r="A375" s="6" t="s">
        <v>386</v>
      </c>
      <c r="B375" s="6" t="s">
        <v>30</v>
      </c>
      <c r="C375" s="6" t="s">
        <v>54</v>
      </c>
      <c r="D375" s="5">
        <v>55</v>
      </c>
      <c r="E375" s="7">
        <f t="shared" si="0"/>
        <v>120692.13</v>
      </c>
      <c r="F375" s="7">
        <v>160922.84</v>
      </c>
      <c r="G375" s="7">
        <v>8850756.1999999993</v>
      </c>
      <c r="H375" s="7">
        <f t="shared" si="1"/>
        <v>2212689.0499999993</v>
      </c>
      <c r="I375" s="8">
        <v>45443</v>
      </c>
      <c r="J375" s="5" t="s">
        <v>10</v>
      </c>
    </row>
    <row r="376" spans="1:10" x14ac:dyDescent="0.25">
      <c r="A376" s="6" t="s">
        <v>387</v>
      </c>
      <c r="B376" s="6" t="s">
        <v>36</v>
      </c>
      <c r="C376" s="6" t="s">
        <v>12</v>
      </c>
      <c r="D376" s="5">
        <v>47</v>
      </c>
      <c r="E376" s="7">
        <f t="shared" si="0"/>
        <v>186680.38500000001</v>
      </c>
      <c r="F376" s="7">
        <v>248907.18</v>
      </c>
      <c r="G376" s="7">
        <v>11698637.459999999</v>
      </c>
      <c r="H376" s="7">
        <f t="shared" si="1"/>
        <v>2924659.3649999993</v>
      </c>
      <c r="I376" s="8">
        <v>45235</v>
      </c>
      <c r="J376" s="6" t="s">
        <v>17</v>
      </c>
    </row>
    <row r="377" spans="1:10" x14ac:dyDescent="0.25">
      <c r="A377" s="6" t="s">
        <v>388</v>
      </c>
      <c r="B377" s="6" t="s">
        <v>30</v>
      </c>
      <c r="C377" s="6" t="s">
        <v>45</v>
      </c>
      <c r="D377" s="5">
        <v>47</v>
      </c>
      <c r="E377" s="7">
        <f t="shared" si="0"/>
        <v>11951.414999999999</v>
      </c>
      <c r="F377" s="7">
        <v>15935.22</v>
      </c>
      <c r="G377" s="7">
        <v>748955.34</v>
      </c>
      <c r="H377" s="7">
        <f t="shared" si="1"/>
        <v>187238.83500000002</v>
      </c>
      <c r="I377" s="8">
        <v>45438</v>
      </c>
      <c r="J377" s="5" t="s">
        <v>10</v>
      </c>
    </row>
    <row r="378" spans="1:10" x14ac:dyDescent="0.25">
      <c r="A378" s="6" t="s">
        <v>389</v>
      </c>
      <c r="B378" s="6" t="s">
        <v>15</v>
      </c>
      <c r="C378" s="6" t="s">
        <v>26</v>
      </c>
      <c r="D378" s="5">
        <v>47</v>
      </c>
      <c r="E378" s="7">
        <f t="shared" si="0"/>
        <v>85096.357499999998</v>
      </c>
      <c r="F378" s="7">
        <v>113461.81</v>
      </c>
      <c r="G378" s="7">
        <v>5332705.07</v>
      </c>
      <c r="H378" s="7">
        <f t="shared" si="1"/>
        <v>1333176.2675000001</v>
      </c>
      <c r="I378" s="8">
        <v>45654</v>
      </c>
      <c r="J378" s="5" t="s">
        <v>10</v>
      </c>
    </row>
    <row r="379" spans="1:10" x14ac:dyDescent="0.25">
      <c r="A379" s="5" t="s">
        <v>10</v>
      </c>
      <c r="B379" s="6" t="s">
        <v>11</v>
      </c>
      <c r="C379" s="6" t="s">
        <v>26</v>
      </c>
      <c r="D379" s="5">
        <v>14</v>
      </c>
      <c r="E379" s="7">
        <f t="shared" si="0"/>
        <v>136266.26250000001</v>
      </c>
      <c r="F379" s="7">
        <v>181688.35</v>
      </c>
      <c r="G379" s="7">
        <v>2543636.9</v>
      </c>
      <c r="H379" s="7">
        <f t="shared" si="1"/>
        <v>635909.22499999986</v>
      </c>
      <c r="I379" s="8">
        <v>45276</v>
      </c>
      <c r="J379" s="6" t="s">
        <v>40</v>
      </c>
    </row>
    <row r="380" spans="1:10" x14ac:dyDescent="0.25">
      <c r="A380" s="6" t="s">
        <v>390</v>
      </c>
      <c r="B380" s="6" t="s">
        <v>32</v>
      </c>
      <c r="C380" s="6" t="s">
        <v>54</v>
      </c>
      <c r="D380" s="5">
        <v>47</v>
      </c>
      <c r="E380" s="7">
        <f t="shared" si="0"/>
        <v>9258.3675000000003</v>
      </c>
      <c r="F380" s="7">
        <v>12344.49</v>
      </c>
      <c r="G380" s="7">
        <v>580191.03</v>
      </c>
      <c r="H380" s="7">
        <f t="shared" si="1"/>
        <v>145047.75749999998</v>
      </c>
      <c r="I380" s="8">
        <v>45436</v>
      </c>
      <c r="J380" s="6" t="s">
        <v>17</v>
      </c>
    </row>
    <row r="381" spans="1:10" x14ac:dyDescent="0.25">
      <c r="A381" s="6" t="s">
        <v>391</v>
      </c>
      <c r="B381" s="6" t="s">
        <v>25</v>
      </c>
      <c r="C381" s="6" t="s">
        <v>26</v>
      </c>
      <c r="D381" s="5">
        <v>47</v>
      </c>
      <c r="E381" s="7">
        <f t="shared" si="0"/>
        <v>16724.182499999999</v>
      </c>
      <c r="F381" s="7">
        <v>22298.91</v>
      </c>
      <c r="G381" s="7">
        <v>1048048.77</v>
      </c>
      <c r="H381" s="7">
        <f t="shared" si="1"/>
        <v>262012.19250000003</v>
      </c>
      <c r="I381" s="8">
        <v>45507</v>
      </c>
      <c r="J381" s="6" t="s">
        <v>17</v>
      </c>
    </row>
    <row r="382" spans="1:10" x14ac:dyDescent="0.25">
      <c r="A382" s="6" t="s">
        <v>392</v>
      </c>
      <c r="B382" s="6" t="s">
        <v>30</v>
      </c>
      <c r="C382" s="6" t="s">
        <v>54</v>
      </c>
      <c r="D382" s="5">
        <v>47</v>
      </c>
      <c r="E382" s="7">
        <f t="shared" si="0"/>
        <v>118416.93</v>
      </c>
      <c r="F382" s="7">
        <v>157889.24</v>
      </c>
      <c r="G382" s="7">
        <v>7420794.2799999993</v>
      </c>
      <c r="H382" s="7">
        <f t="shared" si="1"/>
        <v>1855198.5699999998</v>
      </c>
      <c r="I382" s="8">
        <v>45719</v>
      </c>
      <c r="J382" s="6" t="s">
        <v>17</v>
      </c>
    </row>
    <row r="383" spans="1:10" x14ac:dyDescent="0.25">
      <c r="A383" s="6" t="s">
        <v>393</v>
      </c>
      <c r="B383" s="6" t="s">
        <v>38</v>
      </c>
      <c r="C383" s="6" t="s">
        <v>66</v>
      </c>
      <c r="D383" s="5">
        <v>47</v>
      </c>
      <c r="E383" s="7">
        <f t="shared" si="0"/>
        <v>181119.64499999999</v>
      </c>
      <c r="F383" s="7">
        <v>241492.86</v>
      </c>
      <c r="G383" s="7">
        <v>11350164.42</v>
      </c>
      <c r="H383" s="7">
        <f t="shared" si="1"/>
        <v>2837541.105</v>
      </c>
      <c r="I383" s="8">
        <v>45592</v>
      </c>
      <c r="J383" s="5" t="s">
        <v>10</v>
      </c>
    </row>
    <row r="384" spans="1:10" x14ac:dyDescent="0.25">
      <c r="A384" s="6" t="s">
        <v>394</v>
      </c>
      <c r="B384" s="6" t="s">
        <v>76</v>
      </c>
      <c r="C384" s="6" t="s">
        <v>45</v>
      </c>
      <c r="D384" s="5">
        <v>47</v>
      </c>
      <c r="E384" s="7">
        <f t="shared" si="0"/>
        <v>132360.98249999998</v>
      </c>
      <c r="F384" s="7">
        <v>176481.31</v>
      </c>
      <c r="G384" s="7">
        <v>8294621.5700000003</v>
      </c>
      <c r="H384" s="7">
        <f t="shared" si="1"/>
        <v>2073655.3925000005</v>
      </c>
      <c r="I384" s="8">
        <v>45832</v>
      </c>
      <c r="J384" s="6" t="s">
        <v>17</v>
      </c>
    </row>
    <row r="385" spans="1:10" x14ac:dyDescent="0.25">
      <c r="A385" s="6" t="s">
        <v>395</v>
      </c>
      <c r="B385" s="6" t="s">
        <v>34</v>
      </c>
      <c r="C385" s="6" t="s">
        <v>12</v>
      </c>
      <c r="D385" s="5">
        <v>47</v>
      </c>
      <c r="E385" s="7">
        <f t="shared" si="0"/>
        <v>151199.57250000001</v>
      </c>
      <c r="F385" s="7">
        <v>201599.43</v>
      </c>
      <c r="G385" s="7">
        <v>9475173.209999999</v>
      </c>
      <c r="H385" s="7">
        <f t="shared" si="1"/>
        <v>2368793.3024999993</v>
      </c>
      <c r="I385" s="8">
        <v>45484</v>
      </c>
      <c r="J385" s="5" t="s">
        <v>10</v>
      </c>
    </row>
    <row r="386" spans="1:10" x14ac:dyDescent="0.25">
      <c r="A386" s="6" t="s">
        <v>396</v>
      </c>
      <c r="B386" s="6" t="s">
        <v>30</v>
      </c>
      <c r="C386" s="6" t="s">
        <v>54</v>
      </c>
      <c r="D386" s="5">
        <v>58</v>
      </c>
      <c r="E386" s="7">
        <f t="shared" si="0"/>
        <v>49122.337499999994</v>
      </c>
      <c r="F386" s="7">
        <v>65496.45</v>
      </c>
      <c r="G386" s="7">
        <v>3798794.1</v>
      </c>
      <c r="H386" s="7">
        <f t="shared" si="1"/>
        <v>949698.52500000014</v>
      </c>
      <c r="I386" s="8">
        <v>45795</v>
      </c>
      <c r="J386" s="6" t="s">
        <v>13</v>
      </c>
    </row>
    <row r="387" spans="1:10" x14ac:dyDescent="0.25">
      <c r="A387" s="6" t="s">
        <v>397</v>
      </c>
      <c r="B387" s="6" t="s">
        <v>25</v>
      </c>
      <c r="C387" s="6" t="s">
        <v>54</v>
      </c>
      <c r="D387" s="5">
        <v>47</v>
      </c>
      <c r="E387" s="7">
        <f t="shared" si="0"/>
        <v>47296.71</v>
      </c>
      <c r="F387" s="7">
        <v>63062.28</v>
      </c>
      <c r="G387" s="7">
        <v>2963927.16</v>
      </c>
      <c r="H387" s="7">
        <f t="shared" si="1"/>
        <v>740981.79</v>
      </c>
      <c r="I387" s="8">
        <v>45776</v>
      </c>
      <c r="J387" s="6" t="s">
        <v>40</v>
      </c>
    </row>
    <row r="388" spans="1:10" x14ac:dyDescent="0.25">
      <c r="A388" s="6" t="s">
        <v>398</v>
      </c>
      <c r="B388" s="6" t="s">
        <v>36</v>
      </c>
      <c r="C388" s="6" t="s">
        <v>16</v>
      </c>
      <c r="D388" s="5">
        <v>47</v>
      </c>
      <c r="E388" s="7">
        <f t="shared" si="0"/>
        <v>204117.2475</v>
      </c>
      <c r="F388" s="7">
        <v>272156.33</v>
      </c>
      <c r="G388" s="7">
        <v>12791347.510000002</v>
      </c>
      <c r="H388" s="7">
        <f t="shared" si="1"/>
        <v>3197836.8775000009</v>
      </c>
      <c r="I388" s="8">
        <v>45689</v>
      </c>
      <c r="J388" s="6" t="s">
        <v>27</v>
      </c>
    </row>
    <row r="389" spans="1:10" x14ac:dyDescent="0.25">
      <c r="A389" s="6" t="s">
        <v>399</v>
      </c>
      <c r="B389" s="6" t="s">
        <v>25</v>
      </c>
      <c r="C389" s="6" t="s">
        <v>12</v>
      </c>
      <c r="D389" s="5">
        <v>47</v>
      </c>
      <c r="E389" s="7">
        <f t="shared" si="0"/>
        <v>68478.607499999998</v>
      </c>
      <c r="F389" s="7">
        <v>91304.81</v>
      </c>
      <c r="G389" s="7">
        <v>4291326.07</v>
      </c>
      <c r="H389" s="7">
        <f t="shared" si="1"/>
        <v>1072831.5175000001</v>
      </c>
      <c r="I389" s="8">
        <v>45682</v>
      </c>
      <c r="J389" s="6" t="s">
        <v>13</v>
      </c>
    </row>
    <row r="390" spans="1:10" x14ac:dyDescent="0.25">
      <c r="A390" s="6" t="s">
        <v>400</v>
      </c>
      <c r="B390" s="6" t="s">
        <v>38</v>
      </c>
      <c r="C390" s="6" t="s">
        <v>66</v>
      </c>
      <c r="D390" s="5">
        <v>8</v>
      </c>
      <c r="E390" s="7">
        <f t="shared" si="0"/>
        <v>204557.8125</v>
      </c>
      <c r="F390" s="7">
        <v>272743.75</v>
      </c>
      <c r="G390" s="7">
        <v>2181950</v>
      </c>
      <c r="H390" s="7">
        <f t="shared" si="1"/>
        <v>545487.5</v>
      </c>
      <c r="I390" s="8">
        <v>45166</v>
      </c>
      <c r="J390" s="6" t="s">
        <v>17</v>
      </c>
    </row>
    <row r="391" spans="1:10" x14ac:dyDescent="0.25">
      <c r="A391" s="6" t="s">
        <v>401</v>
      </c>
      <c r="B391" s="6" t="s">
        <v>88</v>
      </c>
      <c r="C391" s="6" t="s">
        <v>16</v>
      </c>
      <c r="D391" s="5">
        <v>47</v>
      </c>
      <c r="E391" s="7">
        <f t="shared" si="0"/>
        <v>47952.322500000002</v>
      </c>
      <c r="F391" s="7">
        <v>63936.43</v>
      </c>
      <c r="G391" s="7">
        <v>3005012.21</v>
      </c>
      <c r="H391" s="7">
        <f t="shared" si="1"/>
        <v>751253.05249999987</v>
      </c>
      <c r="I391" s="8">
        <v>45666</v>
      </c>
      <c r="J391" s="6" t="s">
        <v>40</v>
      </c>
    </row>
    <row r="392" spans="1:10" x14ac:dyDescent="0.25">
      <c r="A392" s="5" t="s">
        <v>10</v>
      </c>
      <c r="B392" s="6" t="s">
        <v>76</v>
      </c>
      <c r="C392" s="6" t="s">
        <v>45</v>
      </c>
      <c r="D392" s="5">
        <v>47</v>
      </c>
      <c r="E392" s="7">
        <f t="shared" si="0"/>
        <v>118416.93</v>
      </c>
      <c r="F392" s="7">
        <v>157889.24</v>
      </c>
      <c r="G392" s="7">
        <v>7420794.2799999993</v>
      </c>
      <c r="H392" s="7">
        <f t="shared" si="1"/>
        <v>1855198.5699999998</v>
      </c>
      <c r="I392" s="8">
        <v>45225</v>
      </c>
      <c r="J392" s="6" t="s">
        <v>40</v>
      </c>
    </row>
    <row r="393" spans="1:10" x14ac:dyDescent="0.25">
      <c r="A393" s="6" t="s">
        <v>402</v>
      </c>
      <c r="B393" s="6" t="s">
        <v>38</v>
      </c>
      <c r="C393" s="6" t="s">
        <v>39</v>
      </c>
      <c r="D393" s="5">
        <v>47</v>
      </c>
      <c r="E393" s="7">
        <f t="shared" si="0"/>
        <v>43059.074999999997</v>
      </c>
      <c r="F393" s="7">
        <v>57412.1</v>
      </c>
      <c r="G393" s="7">
        <v>2698368.6999999997</v>
      </c>
      <c r="H393" s="7">
        <f t="shared" si="1"/>
        <v>674592.17500000005</v>
      </c>
      <c r="I393" s="8">
        <v>45520</v>
      </c>
      <c r="J393" s="6" t="s">
        <v>40</v>
      </c>
    </row>
    <row r="394" spans="1:10" x14ac:dyDescent="0.25">
      <c r="A394" s="6" t="s">
        <v>403</v>
      </c>
      <c r="B394" s="6" t="s">
        <v>76</v>
      </c>
      <c r="C394" s="6" t="s">
        <v>12</v>
      </c>
      <c r="D394" s="5">
        <v>87</v>
      </c>
      <c r="E394" s="7">
        <f t="shared" si="0"/>
        <v>166928.86499999999</v>
      </c>
      <c r="F394" s="7">
        <v>222571.82</v>
      </c>
      <c r="G394" s="7">
        <v>19363748.34</v>
      </c>
      <c r="H394" s="7">
        <f t="shared" si="1"/>
        <v>4840937.0850000018</v>
      </c>
      <c r="I394" s="8">
        <v>45279</v>
      </c>
      <c r="J394" s="6" t="s">
        <v>40</v>
      </c>
    </row>
    <row r="395" spans="1:10" x14ac:dyDescent="0.25">
      <c r="A395" s="6" t="s">
        <v>404</v>
      </c>
      <c r="B395" s="6" t="s">
        <v>43</v>
      </c>
      <c r="C395" s="6" t="s">
        <v>39</v>
      </c>
      <c r="D395" s="5">
        <v>4</v>
      </c>
      <c r="E395" s="7">
        <f t="shared" si="0"/>
        <v>168142.7475</v>
      </c>
      <c r="F395" s="7">
        <v>224190.33</v>
      </c>
      <c r="G395" s="7">
        <v>896761.32</v>
      </c>
      <c r="H395" s="7">
        <f t="shared" si="1"/>
        <v>224190.32999999996</v>
      </c>
      <c r="I395" s="8">
        <v>45553</v>
      </c>
      <c r="J395" s="6" t="s">
        <v>17</v>
      </c>
    </row>
    <row r="396" spans="1:10" x14ac:dyDescent="0.25">
      <c r="A396" s="6" t="s">
        <v>405</v>
      </c>
      <c r="B396" s="6" t="s">
        <v>21</v>
      </c>
      <c r="C396" s="6" t="s">
        <v>12</v>
      </c>
      <c r="D396" s="5">
        <v>47</v>
      </c>
      <c r="E396" s="7">
        <f t="shared" si="0"/>
        <v>169816.54499999998</v>
      </c>
      <c r="F396" s="7">
        <v>226422.06</v>
      </c>
      <c r="G396" s="7">
        <v>10641836.82</v>
      </c>
      <c r="H396" s="7">
        <f t="shared" si="1"/>
        <v>2660459.2050000005</v>
      </c>
      <c r="I396" s="8">
        <v>45370</v>
      </c>
      <c r="J396" s="6" t="s">
        <v>40</v>
      </c>
    </row>
    <row r="397" spans="1:10" x14ac:dyDescent="0.25">
      <c r="A397" s="6" t="s">
        <v>406</v>
      </c>
      <c r="B397" s="6" t="s">
        <v>11</v>
      </c>
      <c r="C397" s="6" t="s">
        <v>66</v>
      </c>
      <c r="D397" s="5">
        <v>57</v>
      </c>
      <c r="E397" s="7">
        <f t="shared" si="0"/>
        <v>205781.3775</v>
      </c>
      <c r="F397" s="7">
        <v>274375.17</v>
      </c>
      <c r="G397" s="7">
        <v>15639384.689999999</v>
      </c>
      <c r="H397" s="7">
        <f t="shared" si="1"/>
        <v>3909846.1724999989</v>
      </c>
      <c r="I397" s="8">
        <v>45632</v>
      </c>
      <c r="J397" s="6" t="s">
        <v>27</v>
      </c>
    </row>
    <row r="398" spans="1:10" x14ac:dyDescent="0.25">
      <c r="A398" s="6" t="s">
        <v>407</v>
      </c>
      <c r="B398" s="6" t="s">
        <v>76</v>
      </c>
      <c r="C398" s="6" t="s">
        <v>16</v>
      </c>
      <c r="D398" s="5">
        <v>17</v>
      </c>
      <c r="E398" s="7">
        <f t="shared" si="0"/>
        <v>156630.05249999999</v>
      </c>
      <c r="F398" s="7">
        <v>208840.07</v>
      </c>
      <c r="G398" s="7">
        <v>3550281.19</v>
      </c>
      <c r="H398" s="7">
        <f t="shared" si="1"/>
        <v>887570.29750000034</v>
      </c>
      <c r="I398" s="8">
        <v>45489</v>
      </c>
      <c r="J398" s="6" t="s">
        <v>27</v>
      </c>
    </row>
    <row r="399" spans="1:10" x14ac:dyDescent="0.25">
      <c r="A399" s="6" t="s">
        <v>408</v>
      </c>
      <c r="B399" s="6" t="s">
        <v>30</v>
      </c>
      <c r="C399" s="6" t="s">
        <v>54</v>
      </c>
      <c r="D399" s="5">
        <v>47</v>
      </c>
      <c r="E399" s="7">
        <f t="shared" si="0"/>
        <v>158459.01750000002</v>
      </c>
      <c r="F399" s="7">
        <v>211278.69</v>
      </c>
      <c r="G399" s="7">
        <v>9930098.4299999997</v>
      </c>
      <c r="H399" s="7">
        <f t="shared" si="1"/>
        <v>2482524.6074999995</v>
      </c>
      <c r="I399" s="8">
        <v>45526</v>
      </c>
      <c r="J399" s="6" t="s">
        <v>40</v>
      </c>
    </row>
    <row r="400" spans="1:10" x14ac:dyDescent="0.25">
      <c r="A400" s="6" t="s">
        <v>409</v>
      </c>
      <c r="B400" s="6" t="s">
        <v>36</v>
      </c>
      <c r="C400" s="6" t="s">
        <v>16</v>
      </c>
      <c r="D400" s="5">
        <v>47</v>
      </c>
      <c r="E400" s="7">
        <f t="shared" si="0"/>
        <v>89468.475000000006</v>
      </c>
      <c r="F400" s="7">
        <v>119291.3</v>
      </c>
      <c r="G400" s="7">
        <v>5606691.1000000006</v>
      </c>
      <c r="H400" s="7">
        <f t="shared" si="1"/>
        <v>1401672.7749999999</v>
      </c>
      <c r="I400" s="8">
        <v>45410</v>
      </c>
      <c r="J400" s="5" t="s">
        <v>10</v>
      </c>
    </row>
    <row r="401" spans="1:10" x14ac:dyDescent="0.25">
      <c r="A401" s="6" t="s">
        <v>410</v>
      </c>
      <c r="B401" s="6" t="s">
        <v>49</v>
      </c>
      <c r="C401" s="6" t="s">
        <v>39</v>
      </c>
      <c r="D401" s="5">
        <v>47</v>
      </c>
      <c r="E401" s="7">
        <f t="shared" si="0"/>
        <v>54134.714999999997</v>
      </c>
      <c r="F401" s="7">
        <v>72179.62</v>
      </c>
      <c r="G401" s="7">
        <v>3392442.1399999997</v>
      </c>
      <c r="H401" s="7">
        <f t="shared" si="1"/>
        <v>848110.53499999992</v>
      </c>
      <c r="I401" s="8">
        <v>45361</v>
      </c>
      <c r="J401" s="6" t="s">
        <v>17</v>
      </c>
    </row>
    <row r="402" spans="1:10" x14ac:dyDescent="0.25">
      <c r="A402" s="6" t="s">
        <v>411</v>
      </c>
      <c r="B402" s="6" t="s">
        <v>25</v>
      </c>
      <c r="C402" s="6" t="s">
        <v>12</v>
      </c>
      <c r="D402" s="5">
        <v>47</v>
      </c>
      <c r="E402" s="7">
        <f t="shared" si="0"/>
        <v>118416.93</v>
      </c>
      <c r="F402" s="7">
        <v>157889.24</v>
      </c>
      <c r="G402" s="7">
        <v>7420794.2799999993</v>
      </c>
      <c r="H402" s="7">
        <f t="shared" si="1"/>
        <v>1855198.5699999998</v>
      </c>
      <c r="I402" s="8">
        <v>45252</v>
      </c>
      <c r="J402" s="6" t="s">
        <v>27</v>
      </c>
    </row>
    <row r="403" spans="1:10" x14ac:dyDescent="0.25">
      <c r="A403" s="6" t="s">
        <v>412</v>
      </c>
      <c r="B403" s="6" t="s">
        <v>21</v>
      </c>
      <c r="C403" s="6" t="s">
        <v>23</v>
      </c>
      <c r="D403" s="5">
        <v>47</v>
      </c>
      <c r="E403" s="7">
        <f t="shared" si="0"/>
        <v>72617.774999999994</v>
      </c>
      <c r="F403" s="7">
        <v>96823.7</v>
      </c>
      <c r="G403" s="7">
        <v>4550713.8999999994</v>
      </c>
      <c r="H403" s="7">
        <f t="shared" si="1"/>
        <v>1137678.4750000001</v>
      </c>
      <c r="I403" s="8">
        <v>45475</v>
      </c>
      <c r="J403" s="6" t="s">
        <v>27</v>
      </c>
    </row>
    <row r="404" spans="1:10" x14ac:dyDescent="0.25">
      <c r="A404" s="6" t="s">
        <v>413</v>
      </c>
      <c r="B404" s="6" t="s">
        <v>62</v>
      </c>
      <c r="C404" s="6" t="s">
        <v>45</v>
      </c>
      <c r="D404" s="5">
        <v>47</v>
      </c>
      <c r="E404" s="7">
        <f t="shared" si="0"/>
        <v>63957.172500000001</v>
      </c>
      <c r="F404" s="7">
        <v>85276.23</v>
      </c>
      <c r="G404" s="7">
        <v>4007982.8099999996</v>
      </c>
      <c r="H404" s="7">
        <f t="shared" si="1"/>
        <v>1001995.7024999998</v>
      </c>
      <c r="I404" s="8">
        <v>45826</v>
      </c>
      <c r="J404" s="6" t="s">
        <v>27</v>
      </c>
    </row>
    <row r="405" spans="1:10" x14ac:dyDescent="0.25">
      <c r="A405" s="5" t="s">
        <v>10</v>
      </c>
      <c r="B405" s="6" t="s">
        <v>62</v>
      </c>
      <c r="C405" s="6" t="s">
        <v>54</v>
      </c>
      <c r="D405" s="5">
        <v>47</v>
      </c>
      <c r="E405" s="7">
        <f t="shared" si="0"/>
        <v>105106.50750000001</v>
      </c>
      <c r="F405" s="7">
        <v>140142.01</v>
      </c>
      <c r="G405" s="7">
        <v>6586674.4700000007</v>
      </c>
      <c r="H405" s="7">
        <f t="shared" si="1"/>
        <v>1646668.6175000002</v>
      </c>
      <c r="I405" s="8">
        <v>45532</v>
      </c>
      <c r="J405" s="6" t="s">
        <v>13</v>
      </c>
    </row>
    <row r="406" spans="1:10" x14ac:dyDescent="0.25">
      <c r="A406" s="6" t="s">
        <v>414</v>
      </c>
      <c r="B406" s="6" t="s">
        <v>36</v>
      </c>
      <c r="C406" s="6" t="s">
        <v>39</v>
      </c>
      <c r="D406" s="5">
        <v>98</v>
      </c>
      <c r="E406" s="7">
        <f t="shared" si="0"/>
        <v>146094.03</v>
      </c>
      <c r="F406" s="7">
        <v>194792.04</v>
      </c>
      <c r="G406" s="7">
        <v>19089619.920000002</v>
      </c>
      <c r="H406" s="7">
        <f t="shared" si="1"/>
        <v>4772404.9800000004</v>
      </c>
      <c r="I406" s="8">
        <v>45383</v>
      </c>
      <c r="J406" s="6" t="s">
        <v>13</v>
      </c>
    </row>
    <row r="407" spans="1:10" x14ac:dyDescent="0.25">
      <c r="A407" s="6" t="s">
        <v>415</v>
      </c>
      <c r="B407" s="6" t="s">
        <v>15</v>
      </c>
      <c r="C407" s="6" t="s">
        <v>45</v>
      </c>
      <c r="D407" s="5">
        <v>74</v>
      </c>
      <c r="E407" s="7">
        <f t="shared" si="0"/>
        <v>69654.352500000008</v>
      </c>
      <c r="F407" s="7">
        <v>92872.47</v>
      </c>
      <c r="G407" s="7">
        <v>6872562.7800000003</v>
      </c>
      <c r="H407" s="7">
        <f t="shared" si="1"/>
        <v>1718140.6949999994</v>
      </c>
      <c r="I407" s="8">
        <v>45542</v>
      </c>
      <c r="J407" s="6" t="s">
        <v>27</v>
      </c>
    </row>
    <row r="408" spans="1:10" x14ac:dyDescent="0.25">
      <c r="A408" s="6" t="s">
        <v>416</v>
      </c>
      <c r="B408" s="6" t="s">
        <v>62</v>
      </c>
      <c r="C408" s="6" t="s">
        <v>54</v>
      </c>
      <c r="D408" s="5">
        <v>47</v>
      </c>
      <c r="E408" s="7">
        <f t="shared" si="0"/>
        <v>81160.17</v>
      </c>
      <c r="F408" s="7">
        <v>108213.56</v>
      </c>
      <c r="G408" s="7">
        <v>5086037.32</v>
      </c>
      <c r="H408" s="7">
        <f t="shared" si="1"/>
        <v>1271509.33</v>
      </c>
      <c r="I408" s="8">
        <v>45393</v>
      </c>
      <c r="J408" s="5" t="s">
        <v>10</v>
      </c>
    </row>
    <row r="409" spans="1:10" x14ac:dyDescent="0.25">
      <c r="A409" s="6" t="s">
        <v>417</v>
      </c>
      <c r="B409" s="6" t="s">
        <v>65</v>
      </c>
      <c r="C409" s="6" t="s">
        <v>45</v>
      </c>
      <c r="D409" s="5">
        <v>47</v>
      </c>
      <c r="E409" s="7">
        <f t="shared" si="0"/>
        <v>198676.63500000001</v>
      </c>
      <c r="F409" s="7">
        <v>264902.18</v>
      </c>
      <c r="G409" s="7">
        <v>12450402.459999999</v>
      </c>
      <c r="H409" s="7">
        <f t="shared" si="1"/>
        <v>3112600.6149999993</v>
      </c>
      <c r="I409" s="8">
        <v>45642</v>
      </c>
      <c r="J409" s="6" t="s">
        <v>17</v>
      </c>
    </row>
    <row r="410" spans="1:10" x14ac:dyDescent="0.25">
      <c r="A410" s="6" t="s">
        <v>418</v>
      </c>
      <c r="B410" s="6" t="s">
        <v>36</v>
      </c>
      <c r="C410" s="6" t="s">
        <v>12</v>
      </c>
      <c r="D410" s="5">
        <v>47</v>
      </c>
      <c r="E410" s="7">
        <f t="shared" si="0"/>
        <v>105051.16500000001</v>
      </c>
      <c r="F410" s="7">
        <v>140068.22</v>
      </c>
      <c r="G410" s="7">
        <v>6583206.3399999999</v>
      </c>
      <c r="H410" s="7">
        <f t="shared" si="1"/>
        <v>1645801.5849999997</v>
      </c>
      <c r="I410" s="8">
        <v>45717</v>
      </c>
      <c r="J410" s="6" t="s">
        <v>17</v>
      </c>
    </row>
    <row r="411" spans="1:10" x14ac:dyDescent="0.25">
      <c r="A411" s="6" t="s">
        <v>419</v>
      </c>
      <c r="B411" s="6" t="s">
        <v>21</v>
      </c>
      <c r="C411" s="6" t="s">
        <v>66</v>
      </c>
      <c r="D411" s="5">
        <v>32</v>
      </c>
      <c r="E411" s="7">
        <f t="shared" si="0"/>
        <v>180707.685</v>
      </c>
      <c r="F411" s="7">
        <v>240943.58</v>
      </c>
      <c r="G411" s="7">
        <v>7710194.5599999996</v>
      </c>
      <c r="H411" s="7">
        <f t="shared" si="1"/>
        <v>1927548.6399999997</v>
      </c>
      <c r="I411" s="8">
        <v>45791</v>
      </c>
      <c r="J411" s="6" t="s">
        <v>27</v>
      </c>
    </row>
    <row r="412" spans="1:10" x14ac:dyDescent="0.25">
      <c r="A412" s="6" t="s">
        <v>420</v>
      </c>
      <c r="B412" s="6" t="s">
        <v>19</v>
      </c>
      <c r="C412" s="6" t="s">
        <v>39</v>
      </c>
      <c r="D412" s="5">
        <v>47</v>
      </c>
      <c r="E412" s="7">
        <f t="shared" si="0"/>
        <v>118416.93</v>
      </c>
      <c r="F412" s="7">
        <v>157889.24</v>
      </c>
      <c r="G412" s="7">
        <v>7420794.2799999993</v>
      </c>
      <c r="H412" s="7">
        <f t="shared" si="1"/>
        <v>1855198.5699999998</v>
      </c>
      <c r="I412" s="8">
        <v>45677</v>
      </c>
      <c r="J412" s="6" t="s">
        <v>27</v>
      </c>
    </row>
    <row r="413" spans="1:10" x14ac:dyDescent="0.25">
      <c r="A413" s="6" t="s">
        <v>421</v>
      </c>
      <c r="B413" s="6" t="s">
        <v>62</v>
      </c>
      <c r="C413" s="6" t="s">
        <v>26</v>
      </c>
      <c r="D413" s="5">
        <v>47</v>
      </c>
      <c r="E413" s="7">
        <f t="shared" si="0"/>
        <v>162647.1525</v>
      </c>
      <c r="F413" s="7">
        <v>216862.87</v>
      </c>
      <c r="G413" s="7">
        <v>10192554.890000001</v>
      </c>
      <c r="H413" s="7">
        <f t="shared" si="1"/>
        <v>2548138.7225000001</v>
      </c>
      <c r="I413" s="8">
        <v>45646</v>
      </c>
      <c r="J413" s="6" t="s">
        <v>17</v>
      </c>
    </row>
    <row r="414" spans="1:10" x14ac:dyDescent="0.25">
      <c r="A414" s="6" t="s">
        <v>422</v>
      </c>
      <c r="B414" s="6" t="s">
        <v>11</v>
      </c>
      <c r="C414" s="6" t="s">
        <v>23</v>
      </c>
      <c r="D414" s="5">
        <v>47</v>
      </c>
      <c r="E414" s="7">
        <f t="shared" si="0"/>
        <v>171455.91</v>
      </c>
      <c r="F414" s="7">
        <v>228607.88</v>
      </c>
      <c r="G414" s="7">
        <v>10744570.359999999</v>
      </c>
      <c r="H414" s="7">
        <f t="shared" si="1"/>
        <v>2686142.59</v>
      </c>
      <c r="I414" s="8">
        <v>45617</v>
      </c>
      <c r="J414" s="5" t="s">
        <v>10</v>
      </c>
    </row>
    <row r="415" spans="1:10" x14ac:dyDescent="0.25">
      <c r="A415" s="6" t="s">
        <v>423</v>
      </c>
      <c r="B415" s="6" t="s">
        <v>74</v>
      </c>
      <c r="C415" s="6" t="s">
        <v>26</v>
      </c>
      <c r="D415" s="5">
        <v>72</v>
      </c>
      <c r="E415" s="7">
        <f t="shared" si="0"/>
        <v>72307.402499999997</v>
      </c>
      <c r="F415" s="7">
        <v>96409.87</v>
      </c>
      <c r="G415" s="7">
        <v>6941510.6399999997</v>
      </c>
      <c r="H415" s="7">
        <f t="shared" si="1"/>
        <v>1735377.66</v>
      </c>
      <c r="I415" s="8">
        <v>45742</v>
      </c>
      <c r="J415" s="6" t="s">
        <v>13</v>
      </c>
    </row>
    <row r="416" spans="1:10" x14ac:dyDescent="0.25">
      <c r="A416" s="6" t="s">
        <v>424</v>
      </c>
      <c r="B416" s="6" t="s">
        <v>38</v>
      </c>
      <c r="C416" s="6" t="s">
        <v>39</v>
      </c>
      <c r="D416" s="5">
        <v>47</v>
      </c>
      <c r="E416" s="7">
        <f t="shared" si="0"/>
        <v>46002.51</v>
      </c>
      <c r="F416" s="7">
        <v>61336.68</v>
      </c>
      <c r="G416" s="7">
        <v>2882823.96</v>
      </c>
      <c r="H416" s="7">
        <f t="shared" si="1"/>
        <v>720705.98999999987</v>
      </c>
      <c r="I416" s="8">
        <v>45656</v>
      </c>
      <c r="J416" s="6" t="s">
        <v>13</v>
      </c>
    </row>
    <row r="417" spans="1:10" x14ac:dyDescent="0.25">
      <c r="A417" s="6" t="s">
        <v>425</v>
      </c>
      <c r="B417" s="6" t="s">
        <v>129</v>
      </c>
      <c r="C417" s="6" t="s">
        <v>54</v>
      </c>
      <c r="D417" s="5">
        <v>47</v>
      </c>
      <c r="E417" s="7">
        <f t="shared" si="0"/>
        <v>70665.104999999996</v>
      </c>
      <c r="F417" s="7">
        <v>94220.14</v>
      </c>
      <c r="G417" s="7">
        <v>4428346.58</v>
      </c>
      <c r="H417" s="7">
        <f t="shared" si="1"/>
        <v>1107086.6450000003</v>
      </c>
      <c r="I417" s="8">
        <v>45323</v>
      </c>
      <c r="J417" s="6" t="s">
        <v>27</v>
      </c>
    </row>
    <row r="418" spans="1:10" x14ac:dyDescent="0.25">
      <c r="A418" s="5" t="s">
        <v>10</v>
      </c>
      <c r="B418" s="6" t="s">
        <v>21</v>
      </c>
      <c r="C418" s="6" t="s">
        <v>39</v>
      </c>
      <c r="D418" s="5">
        <v>47</v>
      </c>
      <c r="E418" s="7">
        <f t="shared" si="0"/>
        <v>10643.835000000001</v>
      </c>
      <c r="F418" s="7">
        <v>14191.78</v>
      </c>
      <c r="G418" s="7">
        <v>667013.66</v>
      </c>
      <c r="H418" s="7">
        <f t="shared" si="1"/>
        <v>166753.41499999998</v>
      </c>
      <c r="I418" s="8">
        <v>45591</v>
      </c>
      <c r="J418" s="6" t="s">
        <v>17</v>
      </c>
    </row>
    <row r="419" spans="1:10" x14ac:dyDescent="0.25">
      <c r="A419" s="6" t="s">
        <v>426</v>
      </c>
      <c r="B419" s="6" t="s">
        <v>43</v>
      </c>
      <c r="C419" s="6" t="s">
        <v>39</v>
      </c>
      <c r="D419" s="5">
        <v>47</v>
      </c>
      <c r="E419" s="7">
        <f t="shared" si="0"/>
        <v>194470.0575</v>
      </c>
      <c r="F419" s="7">
        <v>259293.41</v>
      </c>
      <c r="G419" s="7">
        <v>12186790.27</v>
      </c>
      <c r="H419" s="7">
        <f t="shared" si="1"/>
        <v>3046697.5675000004</v>
      </c>
      <c r="I419" s="8">
        <v>45494</v>
      </c>
      <c r="J419" s="6" t="s">
        <v>13</v>
      </c>
    </row>
    <row r="420" spans="1:10" x14ac:dyDescent="0.25">
      <c r="A420" s="6" t="s">
        <v>427</v>
      </c>
      <c r="B420" s="6" t="s">
        <v>58</v>
      </c>
      <c r="C420" s="6" t="s">
        <v>12</v>
      </c>
      <c r="D420" s="5">
        <v>63</v>
      </c>
      <c r="E420" s="7">
        <f t="shared" si="0"/>
        <v>166878.8175</v>
      </c>
      <c r="F420" s="7">
        <v>222505.09</v>
      </c>
      <c r="G420" s="7">
        <v>14017820.67</v>
      </c>
      <c r="H420" s="7">
        <f t="shared" si="1"/>
        <v>3504455.1674999995</v>
      </c>
      <c r="I420" s="8">
        <v>45267</v>
      </c>
      <c r="J420" s="5" t="s">
        <v>10</v>
      </c>
    </row>
    <row r="421" spans="1:10" x14ac:dyDescent="0.25">
      <c r="A421" s="6" t="s">
        <v>428</v>
      </c>
      <c r="B421" s="6" t="s">
        <v>76</v>
      </c>
      <c r="C421" s="6" t="s">
        <v>16</v>
      </c>
      <c r="D421" s="5">
        <v>16</v>
      </c>
      <c r="E421" s="7">
        <f t="shared" si="0"/>
        <v>4018.3949999999995</v>
      </c>
      <c r="F421" s="7">
        <v>5357.86</v>
      </c>
      <c r="G421" s="7">
        <v>85725.759999999995</v>
      </c>
      <c r="H421" s="7">
        <f t="shared" si="1"/>
        <v>21431.440000000002</v>
      </c>
      <c r="I421" s="8">
        <v>45309</v>
      </c>
      <c r="J421" s="6" t="s">
        <v>27</v>
      </c>
    </row>
    <row r="422" spans="1:10" x14ac:dyDescent="0.25">
      <c r="A422" s="6" t="s">
        <v>429</v>
      </c>
      <c r="B422" s="6" t="s">
        <v>88</v>
      </c>
      <c r="C422" s="6" t="s">
        <v>23</v>
      </c>
      <c r="D422" s="5">
        <v>47</v>
      </c>
      <c r="E422" s="7">
        <f t="shared" si="0"/>
        <v>118416.93</v>
      </c>
      <c r="F422" s="7">
        <v>157889.24</v>
      </c>
      <c r="G422" s="7">
        <v>7420794.2799999993</v>
      </c>
      <c r="H422" s="7">
        <f t="shared" si="1"/>
        <v>1855198.5699999998</v>
      </c>
      <c r="I422" s="8">
        <v>45334</v>
      </c>
      <c r="J422" s="6" t="s">
        <v>40</v>
      </c>
    </row>
    <row r="423" spans="1:10" x14ac:dyDescent="0.25">
      <c r="A423" s="6" t="s">
        <v>430</v>
      </c>
      <c r="B423" s="6" t="s">
        <v>21</v>
      </c>
      <c r="C423" s="6" t="s">
        <v>66</v>
      </c>
      <c r="D423" s="5">
        <v>47</v>
      </c>
      <c r="E423" s="7">
        <f t="shared" si="0"/>
        <v>124662.6075</v>
      </c>
      <c r="F423" s="7">
        <v>166216.81</v>
      </c>
      <c r="G423" s="7">
        <v>7812190.0700000003</v>
      </c>
      <c r="H423" s="7">
        <f t="shared" si="1"/>
        <v>1953047.5175000001</v>
      </c>
      <c r="I423" s="8">
        <v>45551</v>
      </c>
      <c r="J423" s="6" t="s">
        <v>27</v>
      </c>
    </row>
    <row r="424" spans="1:10" x14ac:dyDescent="0.25">
      <c r="A424" s="6" t="s">
        <v>431</v>
      </c>
      <c r="B424" s="6" t="s">
        <v>21</v>
      </c>
      <c r="C424" s="6" t="s">
        <v>66</v>
      </c>
      <c r="D424" s="5">
        <v>57</v>
      </c>
      <c r="E424" s="7">
        <f t="shared" si="0"/>
        <v>131563.16249999998</v>
      </c>
      <c r="F424" s="7">
        <v>175417.55</v>
      </c>
      <c r="G424" s="7">
        <v>9998800.3499999996</v>
      </c>
      <c r="H424" s="7">
        <f t="shared" si="1"/>
        <v>2499700.0875000008</v>
      </c>
      <c r="I424" s="8">
        <v>45349</v>
      </c>
      <c r="J424" s="6" t="s">
        <v>40</v>
      </c>
    </row>
    <row r="425" spans="1:10" x14ac:dyDescent="0.25">
      <c r="A425" s="6" t="s">
        <v>432</v>
      </c>
      <c r="B425" s="6" t="s">
        <v>15</v>
      </c>
      <c r="C425" s="6" t="s">
        <v>45</v>
      </c>
      <c r="D425" s="5">
        <v>47</v>
      </c>
      <c r="E425" s="7">
        <f t="shared" si="0"/>
        <v>162107.685</v>
      </c>
      <c r="F425" s="7">
        <v>216143.58</v>
      </c>
      <c r="G425" s="7">
        <v>10158748.26</v>
      </c>
      <c r="H425" s="7">
        <f t="shared" si="1"/>
        <v>2539687.0649999995</v>
      </c>
      <c r="I425" s="8">
        <v>45292</v>
      </c>
      <c r="J425" s="6" t="s">
        <v>27</v>
      </c>
    </row>
    <row r="426" spans="1:10" x14ac:dyDescent="0.25">
      <c r="A426" s="6" t="s">
        <v>433</v>
      </c>
      <c r="B426" s="6" t="s">
        <v>43</v>
      </c>
      <c r="C426" s="6" t="s">
        <v>66</v>
      </c>
      <c r="D426" s="5">
        <v>47</v>
      </c>
      <c r="E426" s="7">
        <f t="shared" si="0"/>
        <v>66682.567500000005</v>
      </c>
      <c r="F426" s="7">
        <v>88910.09</v>
      </c>
      <c r="G426" s="7">
        <v>4178774.23</v>
      </c>
      <c r="H426" s="7">
        <f t="shared" si="1"/>
        <v>1044693.5574999996</v>
      </c>
      <c r="I426" s="8">
        <v>45349</v>
      </c>
      <c r="J426" s="6" t="s">
        <v>17</v>
      </c>
    </row>
    <row r="427" spans="1:10" x14ac:dyDescent="0.25">
      <c r="A427" s="6" t="s">
        <v>434</v>
      </c>
      <c r="B427" s="6" t="s">
        <v>74</v>
      </c>
      <c r="C427" s="6" t="s">
        <v>23</v>
      </c>
      <c r="D427" s="5">
        <v>91</v>
      </c>
      <c r="E427" s="7">
        <f t="shared" si="0"/>
        <v>44444.58</v>
      </c>
      <c r="F427" s="7">
        <v>59259.44</v>
      </c>
      <c r="G427" s="7">
        <v>5392609.04</v>
      </c>
      <c r="H427" s="7">
        <f t="shared" si="1"/>
        <v>1348152.26</v>
      </c>
      <c r="I427" s="8">
        <v>45716</v>
      </c>
      <c r="J427" s="6" t="s">
        <v>17</v>
      </c>
    </row>
    <row r="428" spans="1:10" x14ac:dyDescent="0.25">
      <c r="A428" s="6" t="s">
        <v>435</v>
      </c>
      <c r="B428" s="6" t="s">
        <v>65</v>
      </c>
      <c r="C428" s="6" t="s">
        <v>45</v>
      </c>
      <c r="D428" s="5">
        <v>47</v>
      </c>
      <c r="E428" s="7">
        <f t="shared" si="0"/>
        <v>52042.934999999998</v>
      </c>
      <c r="F428" s="7">
        <v>69390.58</v>
      </c>
      <c r="G428" s="7">
        <v>3261357.2600000002</v>
      </c>
      <c r="H428" s="7">
        <f t="shared" si="1"/>
        <v>815339.31500000018</v>
      </c>
      <c r="I428" s="8">
        <v>45342</v>
      </c>
      <c r="J428" s="6" t="s">
        <v>17</v>
      </c>
    </row>
    <row r="429" spans="1:10" x14ac:dyDescent="0.25">
      <c r="A429" s="6" t="s">
        <v>436</v>
      </c>
      <c r="B429" s="6" t="s">
        <v>19</v>
      </c>
      <c r="C429" s="6" t="s">
        <v>45</v>
      </c>
      <c r="D429" s="5">
        <v>47</v>
      </c>
      <c r="E429" s="7">
        <f t="shared" si="0"/>
        <v>128363.97</v>
      </c>
      <c r="F429" s="7">
        <v>171151.96</v>
      </c>
      <c r="G429" s="7">
        <v>8044142.1199999992</v>
      </c>
      <c r="H429" s="7">
        <f t="shared" si="1"/>
        <v>2011035.5299999996</v>
      </c>
      <c r="I429" s="8">
        <v>45665</v>
      </c>
      <c r="J429" s="6" t="s">
        <v>17</v>
      </c>
    </row>
    <row r="430" spans="1:10" x14ac:dyDescent="0.25">
      <c r="A430" s="6" t="s">
        <v>437</v>
      </c>
      <c r="B430" s="6" t="s">
        <v>32</v>
      </c>
      <c r="C430" s="6" t="s">
        <v>54</v>
      </c>
      <c r="D430" s="5">
        <v>47</v>
      </c>
      <c r="E430" s="7">
        <f t="shared" si="0"/>
        <v>55572.104999999996</v>
      </c>
      <c r="F430" s="7">
        <v>74096.14</v>
      </c>
      <c r="G430" s="7">
        <v>3482518.58</v>
      </c>
      <c r="H430" s="7">
        <f t="shared" si="1"/>
        <v>870629.64500000014</v>
      </c>
      <c r="I430" s="8">
        <v>45278</v>
      </c>
      <c r="J430" s="5" t="s">
        <v>10</v>
      </c>
    </row>
    <row r="431" spans="1:10" x14ac:dyDescent="0.25">
      <c r="A431" s="5" t="s">
        <v>10</v>
      </c>
      <c r="B431" s="6" t="s">
        <v>19</v>
      </c>
      <c r="C431" s="6" t="s">
        <v>16</v>
      </c>
      <c r="D431" s="5">
        <v>47</v>
      </c>
      <c r="E431" s="7">
        <f t="shared" si="0"/>
        <v>124063.08</v>
      </c>
      <c r="F431" s="7">
        <v>165417.44</v>
      </c>
      <c r="G431" s="7">
        <v>7774619.6799999997</v>
      </c>
      <c r="H431" s="7">
        <f t="shared" si="1"/>
        <v>1943654.92</v>
      </c>
      <c r="I431" s="8">
        <v>45654</v>
      </c>
      <c r="J431" s="5" t="s">
        <v>10</v>
      </c>
    </row>
    <row r="432" spans="1:10" x14ac:dyDescent="0.25">
      <c r="A432" s="6" t="s">
        <v>438</v>
      </c>
      <c r="B432" s="6" t="s">
        <v>76</v>
      </c>
      <c r="C432" s="6" t="s">
        <v>26</v>
      </c>
      <c r="D432" s="5">
        <v>82</v>
      </c>
      <c r="E432" s="7">
        <f t="shared" si="0"/>
        <v>118416.93</v>
      </c>
      <c r="F432" s="7">
        <v>157889.24</v>
      </c>
      <c r="G432" s="7">
        <v>12946917.68</v>
      </c>
      <c r="H432" s="7">
        <f t="shared" si="1"/>
        <v>3236729.42</v>
      </c>
      <c r="I432" s="8">
        <v>45665</v>
      </c>
      <c r="J432" s="6" t="s">
        <v>40</v>
      </c>
    </row>
    <row r="433" spans="1:10" x14ac:dyDescent="0.25">
      <c r="A433" s="6" t="s">
        <v>439</v>
      </c>
      <c r="B433" s="6" t="s">
        <v>47</v>
      </c>
      <c r="C433" s="6" t="s">
        <v>54</v>
      </c>
      <c r="D433" s="5">
        <v>47</v>
      </c>
      <c r="E433" s="7">
        <f t="shared" si="0"/>
        <v>212300.7225</v>
      </c>
      <c r="F433" s="7">
        <v>283067.63</v>
      </c>
      <c r="G433" s="7">
        <v>13304178.609999999</v>
      </c>
      <c r="H433" s="7">
        <f t="shared" si="1"/>
        <v>3326044.6524999999</v>
      </c>
      <c r="I433" s="8">
        <v>45497</v>
      </c>
      <c r="J433" s="5" t="s">
        <v>10</v>
      </c>
    </row>
    <row r="434" spans="1:10" x14ac:dyDescent="0.25">
      <c r="A434" s="6" t="s">
        <v>440</v>
      </c>
      <c r="B434" s="6" t="s">
        <v>74</v>
      </c>
      <c r="C434" s="6" t="s">
        <v>16</v>
      </c>
      <c r="D434" s="5">
        <v>29</v>
      </c>
      <c r="E434" s="7">
        <f t="shared" si="0"/>
        <v>76200.375</v>
      </c>
      <c r="F434" s="7">
        <v>101600.5</v>
      </c>
      <c r="G434" s="7">
        <v>2946414.5</v>
      </c>
      <c r="H434" s="7">
        <f t="shared" si="1"/>
        <v>736603.625</v>
      </c>
      <c r="I434" s="8">
        <v>45364</v>
      </c>
      <c r="J434" s="6" t="s">
        <v>27</v>
      </c>
    </row>
    <row r="435" spans="1:10" x14ac:dyDescent="0.25">
      <c r="A435" s="6" t="s">
        <v>441</v>
      </c>
      <c r="B435" s="6" t="s">
        <v>30</v>
      </c>
      <c r="C435" s="6" t="s">
        <v>16</v>
      </c>
      <c r="D435" s="5">
        <v>26</v>
      </c>
      <c r="E435" s="7">
        <f t="shared" si="0"/>
        <v>171844.88250000001</v>
      </c>
      <c r="F435" s="7">
        <v>229126.51</v>
      </c>
      <c r="G435" s="7">
        <v>5957289.2599999998</v>
      </c>
      <c r="H435" s="7">
        <f t="shared" si="1"/>
        <v>1489322.3149999999</v>
      </c>
      <c r="I435" s="8">
        <v>45490</v>
      </c>
      <c r="J435" s="6" t="s">
        <v>17</v>
      </c>
    </row>
    <row r="436" spans="1:10" x14ac:dyDescent="0.25">
      <c r="A436" s="6" t="s">
        <v>442</v>
      </c>
      <c r="B436" s="6" t="s">
        <v>65</v>
      </c>
      <c r="C436" s="6" t="s">
        <v>16</v>
      </c>
      <c r="D436" s="5">
        <v>47</v>
      </c>
      <c r="E436" s="7">
        <f t="shared" si="0"/>
        <v>110131.51499999998</v>
      </c>
      <c r="F436" s="7">
        <v>146842.01999999999</v>
      </c>
      <c r="G436" s="7">
        <v>6901574.9399999995</v>
      </c>
      <c r="H436" s="7">
        <f t="shared" si="1"/>
        <v>1725393.7350000003</v>
      </c>
      <c r="I436" s="8">
        <v>45388</v>
      </c>
      <c r="J436" s="6" t="s">
        <v>13</v>
      </c>
    </row>
    <row r="437" spans="1:10" x14ac:dyDescent="0.25">
      <c r="A437" s="6" t="s">
        <v>443</v>
      </c>
      <c r="B437" s="6" t="s">
        <v>15</v>
      </c>
      <c r="C437" s="6" t="s">
        <v>39</v>
      </c>
      <c r="D437" s="5">
        <v>47</v>
      </c>
      <c r="E437" s="7">
        <f t="shared" si="0"/>
        <v>162904.20000000001</v>
      </c>
      <c r="F437" s="7">
        <v>217205.6</v>
      </c>
      <c r="G437" s="7">
        <v>10208663.200000001</v>
      </c>
      <c r="H437" s="7">
        <f t="shared" si="1"/>
        <v>2552165.7999999998</v>
      </c>
      <c r="I437" s="8">
        <v>45553</v>
      </c>
      <c r="J437" s="6" t="s">
        <v>13</v>
      </c>
    </row>
    <row r="438" spans="1:10" x14ac:dyDescent="0.25">
      <c r="A438" s="6" t="s">
        <v>444</v>
      </c>
      <c r="B438" s="6" t="s">
        <v>11</v>
      </c>
      <c r="C438" s="6" t="s">
        <v>54</v>
      </c>
      <c r="D438" s="5">
        <v>47</v>
      </c>
      <c r="E438" s="7">
        <f t="shared" si="0"/>
        <v>166506.32250000001</v>
      </c>
      <c r="F438" s="7">
        <v>222008.43</v>
      </c>
      <c r="G438" s="7">
        <v>10434396.209999999</v>
      </c>
      <c r="H438" s="7">
        <f t="shared" si="1"/>
        <v>2608599.0524999993</v>
      </c>
      <c r="I438" s="8">
        <v>45843</v>
      </c>
      <c r="J438" s="6" t="s">
        <v>13</v>
      </c>
    </row>
    <row r="439" spans="1:10" x14ac:dyDescent="0.25">
      <c r="A439" s="6" t="s">
        <v>445</v>
      </c>
      <c r="B439" s="6" t="s">
        <v>19</v>
      </c>
      <c r="C439" s="6" t="s">
        <v>26</v>
      </c>
      <c r="D439" s="5">
        <v>47</v>
      </c>
      <c r="E439" s="7">
        <f t="shared" si="0"/>
        <v>103888.7175</v>
      </c>
      <c r="F439" s="7">
        <v>138518.29</v>
      </c>
      <c r="G439" s="7">
        <v>6510359.6300000008</v>
      </c>
      <c r="H439" s="7">
        <f t="shared" si="1"/>
        <v>1627589.9075000004</v>
      </c>
      <c r="I439" s="8">
        <v>45843</v>
      </c>
      <c r="J439" s="6" t="s">
        <v>27</v>
      </c>
    </row>
    <row r="440" spans="1:10" x14ac:dyDescent="0.25">
      <c r="A440" s="6" t="s">
        <v>446</v>
      </c>
      <c r="B440" s="6" t="s">
        <v>62</v>
      </c>
      <c r="C440" s="6" t="s">
        <v>12</v>
      </c>
      <c r="D440" s="5">
        <v>71</v>
      </c>
      <c r="E440" s="7">
        <f t="shared" si="0"/>
        <v>164973.96</v>
      </c>
      <c r="F440" s="7">
        <v>219965.28</v>
      </c>
      <c r="G440" s="7">
        <v>15617534.880000001</v>
      </c>
      <c r="H440" s="7">
        <f t="shared" si="1"/>
        <v>3904383.7200000007</v>
      </c>
      <c r="I440" s="8">
        <v>45735</v>
      </c>
      <c r="J440" s="6" t="s">
        <v>13</v>
      </c>
    </row>
    <row r="441" spans="1:10" x14ac:dyDescent="0.25">
      <c r="A441" s="6" t="s">
        <v>447</v>
      </c>
      <c r="B441" s="6" t="s">
        <v>34</v>
      </c>
      <c r="C441" s="6" t="s">
        <v>16</v>
      </c>
      <c r="D441" s="5">
        <v>79</v>
      </c>
      <c r="E441" s="7">
        <f t="shared" si="0"/>
        <v>79482.569999999992</v>
      </c>
      <c r="F441" s="7">
        <v>105976.76</v>
      </c>
      <c r="G441" s="7">
        <v>8372164.04</v>
      </c>
      <c r="H441" s="7">
        <f t="shared" si="1"/>
        <v>2093041.0100000002</v>
      </c>
      <c r="I441" s="8">
        <v>45678</v>
      </c>
      <c r="J441" s="6" t="s">
        <v>13</v>
      </c>
    </row>
    <row r="442" spans="1:10" x14ac:dyDescent="0.25">
      <c r="A442" s="6" t="s">
        <v>448</v>
      </c>
      <c r="B442" s="6" t="s">
        <v>19</v>
      </c>
      <c r="C442" s="6" t="s">
        <v>26</v>
      </c>
      <c r="D442" s="5">
        <v>47</v>
      </c>
      <c r="E442" s="7">
        <f t="shared" si="0"/>
        <v>118416.93</v>
      </c>
      <c r="F442" s="7">
        <v>157889.24</v>
      </c>
      <c r="G442" s="7">
        <v>7420794.2799999993</v>
      </c>
      <c r="H442" s="7">
        <f t="shared" si="1"/>
        <v>1855198.5699999998</v>
      </c>
      <c r="I442" s="8">
        <v>45330</v>
      </c>
      <c r="J442" s="6" t="s">
        <v>40</v>
      </c>
    </row>
    <row r="443" spans="1:10" x14ac:dyDescent="0.25">
      <c r="A443" s="6" t="s">
        <v>449</v>
      </c>
      <c r="B443" s="6" t="s">
        <v>38</v>
      </c>
      <c r="C443" s="6" t="s">
        <v>12</v>
      </c>
      <c r="D443" s="5">
        <v>47</v>
      </c>
      <c r="E443" s="7">
        <f t="shared" si="0"/>
        <v>31813.185000000001</v>
      </c>
      <c r="F443" s="7">
        <v>42417.58</v>
      </c>
      <c r="G443" s="7">
        <v>1993626.26</v>
      </c>
      <c r="H443" s="7">
        <f t="shared" si="1"/>
        <v>498406.565</v>
      </c>
      <c r="I443" s="8">
        <v>45341</v>
      </c>
      <c r="J443" s="6" t="s">
        <v>27</v>
      </c>
    </row>
    <row r="444" spans="1:10" x14ac:dyDescent="0.25">
      <c r="A444" s="5" t="s">
        <v>10</v>
      </c>
      <c r="B444" s="6" t="s">
        <v>11</v>
      </c>
      <c r="C444" s="6" t="s">
        <v>23</v>
      </c>
      <c r="D444" s="5">
        <v>47</v>
      </c>
      <c r="E444" s="7">
        <f t="shared" si="0"/>
        <v>123142.9725</v>
      </c>
      <c r="F444" s="7">
        <v>164190.63</v>
      </c>
      <c r="G444" s="7">
        <v>7716959.6100000003</v>
      </c>
      <c r="H444" s="7">
        <f t="shared" si="1"/>
        <v>1929239.9025000001</v>
      </c>
      <c r="I444" s="8">
        <v>45212</v>
      </c>
      <c r="J444" s="6" t="s">
        <v>27</v>
      </c>
    </row>
    <row r="445" spans="1:10" x14ac:dyDescent="0.25">
      <c r="A445" s="6" t="s">
        <v>450</v>
      </c>
      <c r="B445" s="6" t="s">
        <v>49</v>
      </c>
      <c r="C445" s="6" t="s">
        <v>12</v>
      </c>
      <c r="D445" s="5">
        <v>47</v>
      </c>
      <c r="E445" s="7">
        <f t="shared" si="0"/>
        <v>41716.732499999998</v>
      </c>
      <c r="F445" s="7">
        <v>55622.31</v>
      </c>
      <c r="G445" s="7">
        <v>2614248.5699999998</v>
      </c>
      <c r="H445" s="7">
        <f t="shared" si="1"/>
        <v>653562.14249999996</v>
      </c>
      <c r="I445" s="8">
        <v>45563</v>
      </c>
      <c r="J445" s="6" t="s">
        <v>13</v>
      </c>
    </row>
    <row r="446" spans="1:10" x14ac:dyDescent="0.25">
      <c r="A446" s="6" t="s">
        <v>451</v>
      </c>
      <c r="B446" s="6" t="s">
        <v>36</v>
      </c>
      <c r="C446" s="6" t="s">
        <v>23</v>
      </c>
      <c r="D446" s="5">
        <v>47</v>
      </c>
      <c r="E446" s="7">
        <f t="shared" si="0"/>
        <v>200148.51</v>
      </c>
      <c r="F446" s="7">
        <v>266864.68</v>
      </c>
      <c r="G446" s="7">
        <v>12542639.959999999</v>
      </c>
      <c r="H446" s="7">
        <f t="shared" si="1"/>
        <v>3135659.9899999993</v>
      </c>
      <c r="I446" s="8">
        <v>45643</v>
      </c>
      <c r="J446" s="6" t="s">
        <v>27</v>
      </c>
    </row>
    <row r="447" spans="1:10" x14ac:dyDescent="0.25">
      <c r="A447" s="6" t="s">
        <v>452</v>
      </c>
      <c r="B447" s="6" t="s">
        <v>76</v>
      </c>
      <c r="C447" s="6" t="s">
        <v>66</v>
      </c>
      <c r="D447" s="5">
        <v>74</v>
      </c>
      <c r="E447" s="7">
        <f t="shared" si="0"/>
        <v>222826.42500000002</v>
      </c>
      <c r="F447" s="7">
        <v>297101.90000000002</v>
      </c>
      <c r="G447" s="7">
        <v>21985540.600000001</v>
      </c>
      <c r="H447" s="7">
        <f t="shared" si="1"/>
        <v>5496385.1500000004</v>
      </c>
      <c r="I447" s="8">
        <v>45539</v>
      </c>
      <c r="J447" s="6" t="s">
        <v>40</v>
      </c>
    </row>
    <row r="448" spans="1:10" x14ac:dyDescent="0.25">
      <c r="A448" s="6" t="s">
        <v>453</v>
      </c>
      <c r="B448" s="6" t="s">
        <v>65</v>
      </c>
      <c r="C448" s="6" t="s">
        <v>12</v>
      </c>
      <c r="D448" s="5">
        <v>47</v>
      </c>
      <c r="E448" s="7">
        <f t="shared" si="0"/>
        <v>215394.33750000002</v>
      </c>
      <c r="F448" s="7">
        <v>287192.45</v>
      </c>
      <c r="G448" s="7">
        <v>13498045.15</v>
      </c>
      <c r="H448" s="7">
        <f t="shared" si="1"/>
        <v>3374511.2874999996</v>
      </c>
      <c r="I448" s="8">
        <v>45412</v>
      </c>
      <c r="J448" s="6" t="s">
        <v>40</v>
      </c>
    </row>
    <row r="449" spans="1:10" x14ac:dyDescent="0.25">
      <c r="A449" s="6" t="s">
        <v>454</v>
      </c>
      <c r="B449" s="6" t="s">
        <v>36</v>
      </c>
      <c r="C449" s="6" t="s">
        <v>23</v>
      </c>
      <c r="D449" s="5">
        <v>83</v>
      </c>
      <c r="E449" s="7">
        <f t="shared" si="0"/>
        <v>118066.01250000001</v>
      </c>
      <c r="F449" s="7">
        <v>157421.35</v>
      </c>
      <c r="G449" s="7">
        <v>13065972.050000001</v>
      </c>
      <c r="H449" s="7">
        <f t="shared" si="1"/>
        <v>3266493.0124999997</v>
      </c>
      <c r="I449" s="8">
        <v>45813</v>
      </c>
      <c r="J449" s="6" t="s">
        <v>17</v>
      </c>
    </row>
    <row r="450" spans="1:10" x14ac:dyDescent="0.25">
      <c r="A450" s="6" t="s">
        <v>455</v>
      </c>
      <c r="B450" s="6" t="s">
        <v>49</v>
      </c>
      <c r="C450" s="6" t="s">
        <v>16</v>
      </c>
      <c r="D450" s="5">
        <v>47</v>
      </c>
      <c r="E450" s="7">
        <f t="shared" si="0"/>
        <v>188850.75750000001</v>
      </c>
      <c r="F450" s="7">
        <v>251801.01</v>
      </c>
      <c r="G450" s="7">
        <v>11834647.470000001</v>
      </c>
      <c r="H450" s="7">
        <f t="shared" si="1"/>
        <v>2958661.8675000002</v>
      </c>
      <c r="I450" s="8">
        <v>45424</v>
      </c>
      <c r="J450" s="6" t="s">
        <v>40</v>
      </c>
    </row>
    <row r="451" spans="1:10" x14ac:dyDescent="0.25">
      <c r="A451" s="6" t="s">
        <v>456</v>
      </c>
      <c r="B451" s="6" t="s">
        <v>47</v>
      </c>
      <c r="C451" s="6" t="s">
        <v>39</v>
      </c>
      <c r="D451" s="5">
        <v>47</v>
      </c>
      <c r="E451" s="7">
        <f t="shared" si="0"/>
        <v>17071.47</v>
      </c>
      <c r="F451" s="7">
        <v>22761.96</v>
      </c>
      <c r="G451" s="7">
        <v>1069812.1199999999</v>
      </c>
      <c r="H451" s="7">
        <f t="shared" si="1"/>
        <v>267453.02999999991</v>
      </c>
      <c r="I451" s="8">
        <v>45753</v>
      </c>
      <c r="J451" s="6" t="s">
        <v>17</v>
      </c>
    </row>
    <row r="452" spans="1:10" x14ac:dyDescent="0.25">
      <c r="A452" s="6" t="s">
        <v>457</v>
      </c>
      <c r="B452" s="6" t="s">
        <v>11</v>
      </c>
      <c r="C452" s="6" t="s">
        <v>12</v>
      </c>
      <c r="D452" s="5">
        <v>45</v>
      </c>
      <c r="E452" s="7">
        <f t="shared" si="0"/>
        <v>118416.93</v>
      </c>
      <c r="F452" s="7">
        <v>157889.24</v>
      </c>
      <c r="G452" s="7">
        <v>7105015.7999999998</v>
      </c>
      <c r="H452" s="7">
        <f t="shared" si="1"/>
        <v>1776253.95</v>
      </c>
      <c r="I452" s="8">
        <v>45386</v>
      </c>
      <c r="J452" s="6" t="s">
        <v>13</v>
      </c>
    </row>
    <row r="453" spans="1:10" x14ac:dyDescent="0.25">
      <c r="A453" s="6" t="s">
        <v>458</v>
      </c>
      <c r="B453" s="6" t="s">
        <v>74</v>
      </c>
      <c r="C453" s="6" t="s">
        <v>45</v>
      </c>
      <c r="D453" s="5">
        <v>47</v>
      </c>
      <c r="E453" s="7">
        <f t="shared" si="0"/>
        <v>184117.33499999999</v>
      </c>
      <c r="F453" s="7">
        <v>245489.78</v>
      </c>
      <c r="G453" s="7">
        <v>11538019.66</v>
      </c>
      <c r="H453" s="7">
        <f t="shared" si="1"/>
        <v>2884504.9150000005</v>
      </c>
      <c r="I453" s="8">
        <v>45718</v>
      </c>
      <c r="J453" s="6" t="s">
        <v>17</v>
      </c>
    </row>
    <row r="454" spans="1:10" x14ac:dyDescent="0.25">
      <c r="A454" s="6" t="s">
        <v>459</v>
      </c>
      <c r="B454" s="6" t="s">
        <v>34</v>
      </c>
      <c r="C454" s="6" t="s">
        <v>23</v>
      </c>
      <c r="D454" s="5">
        <v>47</v>
      </c>
      <c r="E454" s="7">
        <f t="shared" si="0"/>
        <v>11272.545</v>
      </c>
      <c r="F454" s="7">
        <v>15030.06</v>
      </c>
      <c r="G454" s="7">
        <v>706412.82</v>
      </c>
      <c r="H454" s="7">
        <f t="shared" si="1"/>
        <v>176603.20499999996</v>
      </c>
      <c r="I454" s="8">
        <v>45742</v>
      </c>
      <c r="J454" s="6" t="s">
        <v>17</v>
      </c>
    </row>
    <row r="455" spans="1:10" x14ac:dyDescent="0.25">
      <c r="A455" s="6" t="s">
        <v>460</v>
      </c>
      <c r="B455" s="6" t="s">
        <v>43</v>
      </c>
      <c r="C455" s="6" t="s">
        <v>54</v>
      </c>
      <c r="D455" s="5">
        <v>24</v>
      </c>
      <c r="E455" s="7">
        <f t="shared" si="0"/>
        <v>1808.97</v>
      </c>
      <c r="F455" s="7">
        <v>2411.96</v>
      </c>
      <c r="G455" s="7">
        <v>57887.040000000001</v>
      </c>
      <c r="H455" s="7">
        <f t="shared" si="1"/>
        <v>14471.76</v>
      </c>
      <c r="I455" s="8">
        <v>45231</v>
      </c>
      <c r="J455" s="6" t="s">
        <v>13</v>
      </c>
    </row>
    <row r="456" spans="1:10" x14ac:dyDescent="0.25">
      <c r="A456" s="6" t="s">
        <v>461</v>
      </c>
      <c r="B456" s="6" t="s">
        <v>19</v>
      </c>
      <c r="C456" s="6" t="s">
        <v>23</v>
      </c>
      <c r="D456" s="5">
        <v>47</v>
      </c>
      <c r="E456" s="7">
        <f t="shared" si="0"/>
        <v>31259.032500000001</v>
      </c>
      <c r="F456" s="7">
        <v>41678.71</v>
      </c>
      <c r="G456" s="7">
        <v>1958899.3699999999</v>
      </c>
      <c r="H456" s="7">
        <f t="shared" si="1"/>
        <v>489724.84249999991</v>
      </c>
      <c r="I456" s="8">
        <v>45343</v>
      </c>
      <c r="J456" s="6" t="s">
        <v>17</v>
      </c>
    </row>
    <row r="457" spans="1:10" x14ac:dyDescent="0.25">
      <c r="A457" s="5" t="s">
        <v>10</v>
      </c>
      <c r="B457" s="6" t="s">
        <v>38</v>
      </c>
      <c r="C457" s="6" t="s">
        <v>12</v>
      </c>
      <c r="D457" s="5">
        <v>8</v>
      </c>
      <c r="E457" s="7">
        <f t="shared" si="0"/>
        <v>142046.35500000001</v>
      </c>
      <c r="F457" s="7">
        <v>189395.14</v>
      </c>
      <c r="G457" s="7">
        <v>1515161.12</v>
      </c>
      <c r="H457" s="7">
        <f t="shared" si="1"/>
        <v>378790.28</v>
      </c>
      <c r="I457" s="8">
        <v>45150</v>
      </c>
      <c r="J457" s="6" t="s">
        <v>40</v>
      </c>
    </row>
    <row r="458" spans="1:10" x14ac:dyDescent="0.25">
      <c r="A458" s="6" t="s">
        <v>462</v>
      </c>
      <c r="B458" s="6" t="s">
        <v>36</v>
      </c>
      <c r="C458" s="6" t="s">
        <v>23</v>
      </c>
      <c r="D458" s="5">
        <v>67</v>
      </c>
      <c r="E458" s="7">
        <f t="shared" si="0"/>
        <v>15642.300000000001</v>
      </c>
      <c r="F458" s="7">
        <v>20856.400000000001</v>
      </c>
      <c r="G458" s="7">
        <v>1397378.8</v>
      </c>
      <c r="H458" s="7">
        <f t="shared" si="1"/>
        <v>349344.7</v>
      </c>
      <c r="I458" s="8">
        <v>45341</v>
      </c>
      <c r="J458" s="6" t="s">
        <v>13</v>
      </c>
    </row>
    <row r="459" spans="1:10" x14ac:dyDescent="0.25">
      <c r="A459" s="6" t="s">
        <v>463</v>
      </c>
      <c r="B459" s="6" t="s">
        <v>15</v>
      </c>
      <c r="C459" s="6" t="s">
        <v>26</v>
      </c>
      <c r="D459" s="5">
        <v>39</v>
      </c>
      <c r="E459" s="7">
        <f t="shared" si="0"/>
        <v>34300.034999999996</v>
      </c>
      <c r="F459" s="7">
        <v>45733.38</v>
      </c>
      <c r="G459" s="7">
        <v>1783601.82</v>
      </c>
      <c r="H459" s="7">
        <f t="shared" si="1"/>
        <v>445900.45500000007</v>
      </c>
      <c r="I459" s="8">
        <v>45672</v>
      </c>
      <c r="J459" s="6" t="s">
        <v>27</v>
      </c>
    </row>
    <row r="460" spans="1:10" x14ac:dyDescent="0.25">
      <c r="A460" s="6" t="s">
        <v>464</v>
      </c>
      <c r="B460" s="6" t="s">
        <v>47</v>
      </c>
      <c r="C460" s="6" t="s">
        <v>54</v>
      </c>
      <c r="D460" s="5">
        <v>47</v>
      </c>
      <c r="E460" s="7">
        <f t="shared" si="0"/>
        <v>49504.904999999999</v>
      </c>
      <c r="F460" s="7">
        <v>66006.539999999994</v>
      </c>
      <c r="G460" s="7">
        <v>3102307.38</v>
      </c>
      <c r="H460" s="7">
        <f t="shared" si="1"/>
        <v>775576.84499999974</v>
      </c>
      <c r="I460" s="8">
        <v>45179</v>
      </c>
      <c r="J460" s="6" t="s">
        <v>17</v>
      </c>
    </row>
    <row r="461" spans="1:10" x14ac:dyDescent="0.25">
      <c r="A461" s="6" t="s">
        <v>465</v>
      </c>
      <c r="B461" s="6" t="s">
        <v>30</v>
      </c>
      <c r="C461" s="6" t="s">
        <v>12</v>
      </c>
      <c r="D461" s="5">
        <v>91</v>
      </c>
      <c r="E461" s="7">
        <f t="shared" si="0"/>
        <v>102806.16750000001</v>
      </c>
      <c r="F461" s="7">
        <v>137074.89000000001</v>
      </c>
      <c r="G461" s="7">
        <v>12473814.99</v>
      </c>
      <c r="H461" s="7">
        <f t="shared" si="1"/>
        <v>3118453.7475000005</v>
      </c>
      <c r="I461" s="8">
        <v>45387</v>
      </c>
      <c r="J461" s="6" t="s">
        <v>40</v>
      </c>
    </row>
    <row r="462" spans="1:10" x14ac:dyDescent="0.25">
      <c r="A462" s="6" t="s">
        <v>466</v>
      </c>
      <c r="B462" s="6" t="s">
        <v>43</v>
      </c>
      <c r="C462" s="6" t="s">
        <v>39</v>
      </c>
      <c r="D462" s="5">
        <v>47</v>
      </c>
      <c r="E462" s="7">
        <f t="shared" si="0"/>
        <v>118416.93</v>
      </c>
      <c r="F462" s="7">
        <v>157889.24</v>
      </c>
      <c r="G462" s="7">
        <v>7420794.2799999993</v>
      </c>
      <c r="H462" s="7">
        <f t="shared" si="1"/>
        <v>1855198.5699999998</v>
      </c>
      <c r="I462" s="8">
        <v>45835</v>
      </c>
      <c r="J462" s="6" t="s">
        <v>27</v>
      </c>
    </row>
    <row r="463" spans="1:10" x14ac:dyDescent="0.25">
      <c r="A463" s="6" t="s">
        <v>467</v>
      </c>
      <c r="B463" s="6" t="s">
        <v>76</v>
      </c>
      <c r="C463" s="6" t="s">
        <v>26</v>
      </c>
      <c r="D463" s="5">
        <v>37</v>
      </c>
      <c r="E463" s="7">
        <f t="shared" si="0"/>
        <v>13953.607500000002</v>
      </c>
      <c r="F463" s="7">
        <v>18604.810000000001</v>
      </c>
      <c r="G463" s="7">
        <v>688377.97</v>
      </c>
      <c r="H463" s="7">
        <f t="shared" si="1"/>
        <v>172094.49249999999</v>
      </c>
      <c r="I463" s="8">
        <v>45461</v>
      </c>
      <c r="J463" s="6" t="s">
        <v>13</v>
      </c>
    </row>
    <row r="464" spans="1:10" x14ac:dyDescent="0.25">
      <c r="A464" s="6" t="s">
        <v>468</v>
      </c>
      <c r="B464" s="6" t="s">
        <v>36</v>
      </c>
      <c r="C464" s="6" t="s">
        <v>54</v>
      </c>
      <c r="D464" s="5">
        <v>33</v>
      </c>
      <c r="E464" s="7">
        <f t="shared" si="0"/>
        <v>143624.7825</v>
      </c>
      <c r="F464" s="7">
        <v>191499.71</v>
      </c>
      <c r="G464" s="7">
        <v>6319490.4299999997</v>
      </c>
      <c r="H464" s="7">
        <f t="shared" si="1"/>
        <v>1579872.6074999997</v>
      </c>
      <c r="I464" s="8">
        <v>45627</v>
      </c>
      <c r="J464" s="6" t="s">
        <v>13</v>
      </c>
    </row>
    <row r="465" spans="1:10" x14ac:dyDescent="0.25">
      <c r="A465" s="6" t="s">
        <v>469</v>
      </c>
      <c r="B465" s="6" t="s">
        <v>32</v>
      </c>
      <c r="C465" s="6" t="s">
        <v>45</v>
      </c>
      <c r="D465" s="5">
        <v>47</v>
      </c>
      <c r="E465" s="7">
        <f t="shared" si="0"/>
        <v>210153.12</v>
      </c>
      <c r="F465" s="7">
        <v>280204.15999999997</v>
      </c>
      <c r="G465" s="7">
        <v>13169595.52</v>
      </c>
      <c r="H465" s="7">
        <f t="shared" si="1"/>
        <v>3292398.879999999</v>
      </c>
      <c r="I465" s="8">
        <v>45317</v>
      </c>
      <c r="J465" s="6" t="s">
        <v>13</v>
      </c>
    </row>
    <row r="466" spans="1:10" x14ac:dyDescent="0.25">
      <c r="A466" s="6" t="s">
        <v>470</v>
      </c>
      <c r="B466" s="6" t="s">
        <v>65</v>
      </c>
      <c r="C466" s="6" t="s">
        <v>23</v>
      </c>
      <c r="D466" s="5">
        <v>36</v>
      </c>
      <c r="E466" s="7">
        <f t="shared" si="0"/>
        <v>205401.79499999998</v>
      </c>
      <c r="F466" s="7">
        <v>273869.06</v>
      </c>
      <c r="G466" s="7">
        <v>9859286.1600000001</v>
      </c>
      <c r="H466" s="7">
        <f t="shared" si="1"/>
        <v>2464821.5400000005</v>
      </c>
      <c r="I466" s="8">
        <v>45698</v>
      </c>
      <c r="J466" s="6" t="s">
        <v>40</v>
      </c>
    </row>
    <row r="467" spans="1:10" x14ac:dyDescent="0.25">
      <c r="A467" s="6" t="s">
        <v>471</v>
      </c>
      <c r="B467" s="6" t="s">
        <v>49</v>
      </c>
      <c r="C467" s="6" t="s">
        <v>23</v>
      </c>
      <c r="D467" s="5">
        <v>47</v>
      </c>
      <c r="E467" s="7">
        <f t="shared" si="0"/>
        <v>148466.745</v>
      </c>
      <c r="F467" s="7">
        <v>197955.66</v>
      </c>
      <c r="G467" s="7">
        <v>9303916.0199999996</v>
      </c>
      <c r="H467" s="7">
        <f t="shared" si="1"/>
        <v>2325979.0050000004</v>
      </c>
      <c r="I467" s="8">
        <v>45490</v>
      </c>
      <c r="J467" s="6" t="s">
        <v>27</v>
      </c>
    </row>
    <row r="468" spans="1:10" x14ac:dyDescent="0.25">
      <c r="A468" s="6" t="s">
        <v>472</v>
      </c>
      <c r="B468" s="6" t="s">
        <v>65</v>
      </c>
      <c r="C468" s="6" t="s">
        <v>66</v>
      </c>
      <c r="D468" s="5">
        <v>47</v>
      </c>
      <c r="E468" s="7">
        <f t="shared" si="0"/>
        <v>3908.7449999999999</v>
      </c>
      <c r="F468" s="7">
        <v>5211.66</v>
      </c>
      <c r="G468" s="7">
        <v>244948.02</v>
      </c>
      <c r="H468" s="7">
        <f t="shared" si="1"/>
        <v>61237.004999999997</v>
      </c>
      <c r="I468" s="8">
        <v>45284</v>
      </c>
      <c r="J468" s="6" t="s">
        <v>13</v>
      </c>
    </row>
    <row r="469" spans="1:10" x14ac:dyDescent="0.25">
      <c r="A469" s="6" t="s">
        <v>473</v>
      </c>
      <c r="B469" s="6" t="s">
        <v>11</v>
      </c>
      <c r="C469" s="6" t="s">
        <v>54</v>
      </c>
      <c r="D469" s="5">
        <v>47</v>
      </c>
      <c r="E469" s="7">
        <f t="shared" si="0"/>
        <v>119923.23000000001</v>
      </c>
      <c r="F469" s="7">
        <v>159897.64000000001</v>
      </c>
      <c r="G469" s="7">
        <v>7515189.080000001</v>
      </c>
      <c r="H469" s="7">
        <f t="shared" si="1"/>
        <v>1878797.2700000003</v>
      </c>
      <c r="I469" s="8">
        <v>45274</v>
      </c>
      <c r="J469" s="6" t="s">
        <v>40</v>
      </c>
    </row>
    <row r="470" spans="1:10" x14ac:dyDescent="0.25">
      <c r="A470" s="5" t="s">
        <v>10</v>
      </c>
      <c r="B470" s="6" t="s">
        <v>88</v>
      </c>
      <c r="C470" s="6" t="s">
        <v>23</v>
      </c>
      <c r="D470" s="5">
        <v>83</v>
      </c>
      <c r="E470" s="7">
        <f t="shared" si="0"/>
        <v>92771.91</v>
      </c>
      <c r="F470" s="7">
        <v>123695.88</v>
      </c>
      <c r="G470" s="7">
        <v>10266758.039999999</v>
      </c>
      <c r="H470" s="7">
        <f t="shared" si="1"/>
        <v>2566689.5100000002</v>
      </c>
      <c r="I470" s="8">
        <v>45761</v>
      </c>
      <c r="J470" s="5" t="s">
        <v>10</v>
      </c>
    </row>
    <row r="471" spans="1:10" x14ac:dyDescent="0.25">
      <c r="A471" s="6" t="s">
        <v>474</v>
      </c>
      <c r="B471" s="6" t="s">
        <v>47</v>
      </c>
      <c r="C471" s="6" t="s">
        <v>66</v>
      </c>
      <c r="D471" s="5">
        <v>47</v>
      </c>
      <c r="E471" s="7">
        <f t="shared" si="0"/>
        <v>4132.1099999999997</v>
      </c>
      <c r="F471" s="7">
        <v>5509.48</v>
      </c>
      <c r="G471" s="7">
        <v>258945.55999999997</v>
      </c>
      <c r="H471" s="7">
        <f t="shared" si="1"/>
        <v>64736.389999999992</v>
      </c>
      <c r="I471" s="8">
        <v>45536</v>
      </c>
      <c r="J471" s="6" t="s">
        <v>40</v>
      </c>
    </row>
    <row r="472" spans="1:10" x14ac:dyDescent="0.25">
      <c r="A472" s="6" t="s">
        <v>475</v>
      </c>
      <c r="B472" s="6" t="s">
        <v>88</v>
      </c>
      <c r="C472" s="6" t="s">
        <v>66</v>
      </c>
      <c r="D472" s="5">
        <v>20</v>
      </c>
      <c r="E472" s="7">
        <f t="shared" si="0"/>
        <v>118416.93</v>
      </c>
      <c r="F472" s="7">
        <v>157889.24</v>
      </c>
      <c r="G472" s="7">
        <v>3157784.8</v>
      </c>
      <c r="H472" s="7">
        <f t="shared" si="1"/>
        <v>789446.2</v>
      </c>
      <c r="I472" s="8">
        <v>45328</v>
      </c>
      <c r="J472" s="5" t="s">
        <v>10</v>
      </c>
    </row>
    <row r="473" spans="1:10" x14ac:dyDescent="0.25">
      <c r="A473" s="6" t="s">
        <v>476</v>
      </c>
      <c r="B473" s="6" t="s">
        <v>36</v>
      </c>
      <c r="C473" s="6" t="s">
        <v>12</v>
      </c>
      <c r="D473" s="5">
        <v>47</v>
      </c>
      <c r="E473" s="7">
        <f t="shared" si="0"/>
        <v>162597.54</v>
      </c>
      <c r="F473" s="7">
        <v>216796.72</v>
      </c>
      <c r="G473" s="7">
        <v>10189445.84</v>
      </c>
      <c r="H473" s="7">
        <f t="shared" si="1"/>
        <v>2547361.4599999995</v>
      </c>
      <c r="I473" s="8">
        <v>45842</v>
      </c>
      <c r="J473" s="6" t="s">
        <v>27</v>
      </c>
    </row>
    <row r="474" spans="1:10" x14ac:dyDescent="0.25">
      <c r="A474" s="6" t="s">
        <v>477</v>
      </c>
      <c r="B474" s="6" t="s">
        <v>65</v>
      </c>
      <c r="C474" s="6" t="s">
        <v>23</v>
      </c>
      <c r="D474" s="5">
        <v>47</v>
      </c>
      <c r="E474" s="7">
        <f t="shared" si="0"/>
        <v>120715.17</v>
      </c>
      <c r="F474" s="7">
        <v>160953.56</v>
      </c>
      <c r="G474" s="7">
        <v>7564817.3200000003</v>
      </c>
      <c r="H474" s="7">
        <f t="shared" si="1"/>
        <v>1891204.33</v>
      </c>
      <c r="I474" s="8">
        <v>45554</v>
      </c>
      <c r="J474" s="6" t="s">
        <v>13</v>
      </c>
    </row>
    <row r="475" spans="1:10" x14ac:dyDescent="0.25">
      <c r="A475" s="6" t="s">
        <v>478</v>
      </c>
      <c r="B475" s="6" t="s">
        <v>74</v>
      </c>
      <c r="C475" s="6" t="s">
        <v>26</v>
      </c>
      <c r="D475" s="5">
        <v>47</v>
      </c>
      <c r="E475" s="7">
        <f t="shared" si="0"/>
        <v>64772.415000000001</v>
      </c>
      <c r="F475" s="7">
        <v>86363.22</v>
      </c>
      <c r="G475" s="7">
        <v>4059071.34</v>
      </c>
      <c r="H475" s="7">
        <f t="shared" si="1"/>
        <v>1014767.835</v>
      </c>
      <c r="I475" s="8">
        <v>45658</v>
      </c>
      <c r="J475" s="6" t="s">
        <v>13</v>
      </c>
    </row>
    <row r="476" spans="1:10" x14ac:dyDescent="0.25">
      <c r="A476" s="6" t="s">
        <v>479</v>
      </c>
      <c r="B476" s="6" t="s">
        <v>88</v>
      </c>
      <c r="C476" s="6" t="s">
        <v>45</v>
      </c>
      <c r="D476" s="5">
        <v>6</v>
      </c>
      <c r="E476" s="7">
        <f t="shared" si="0"/>
        <v>113185.27500000001</v>
      </c>
      <c r="F476" s="7">
        <v>150913.70000000001</v>
      </c>
      <c r="G476" s="7">
        <v>905482.2</v>
      </c>
      <c r="H476" s="7">
        <f t="shared" si="1"/>
        <v>226370.55000000002</v>
      </c>
      <c r="I476" s="8">
        <v>45328</v>
      </c>
      <c r="J476" s="6" t="s">
        <v>17</v>
      </c>
    </row>
    <row r="477" spans="1:10" x14ac:dyDescent="0.25">
      <c r="A477" s="6" t="s">
        <v>480</v>
      </c>
      <c r="B477" s="6" t="s">
        <v>30</v>
      </c>
      <c r="C477" s="6" t="s">
        <v>26</v>
      </c>
      <c r="D477" s="5">
        <v>11</v>
      </c>
      <c r="E477" s="7">
        <f t="shared" si="0"/>
        <v>157131.5925</v>
      </c>
      <c r="F477" s="7">
        <v>209508.79</v>
      </c>
      <c r="G477" s="7">
        <v>2304596.69</v>
      </c>
      <c r="H477" s="7">
        <f t="shared" si="1"/>
        <v>576149.1725000001</v>
      </c>
      <c r="I477" s="8">
        <v>45224</v>
      </c>
      <c r="J477" s="6" t="s">
        <v>13</v>
      </c>
    </row>
    <row r="478" spans="1:10" x14ac:dyDescent="0.25">
      <c r="A478" s="6" t="s">
        <v>481</v>
      </c>
      <c r="B478" s="6" t="s">
        <v>25</v>
      </c>
      <c r="C478" s="6" t="s">
        <v>26</v>
      </c>
      <c r="D478" s="5">
        <v>47</v>
      </c>
      <c r="E478" s="7">
        <f t="shared" si="0"/>
        <v>97092.51</v>
      </c>
      <c r="F478" s="7">
        <v>129456.68</v>
      </c>
      <c r="G478" s="7">
        <v>6084463.96</v>
      </c>
      <c r="H478" s="7">
        <f t="shared" si="1"/>
        <v>1521115.99</v>
      </c>
      <c r="I478" s="8">
        <v>45202</v>
      </c>
      <c r="J478" s="6" t="s">
        <v>27</v>
      </c>
    </row>
    <row r="479" spans="1:10" x14ac:dyDescent="0.25">
      <c r="A479" s="6" t="s">
        <v>482</v>
      </c>
      <c r="B479" s="6" t="s">
        <v>43</v>
      </c>
      <c r="C479" s="6" t="s">
        <v>23</v>
      </c>
      <c r="D479" s="5">
        <v>47</v>
      </c>
      <c r="E479" s="7">
        <f t="shared" si="0"/>
        <v>211457.78999999998</v>
      </c>
      <c r="F479" s="7">
        <v>281943.71999999997</v>
      </c>
      <c r="G479" s="7">
        <v>13251354.839999998</v>
      </c>
      <c r="H479" s="7">
        <f t="shared" si="1"/>
        <v>3312838.7099999995</v>
      </c>
      <c r="I479" s="8">
        <v>45596</v>
      </c>
      <c r="J479" s="6" t="s">
        <v>40</v>
      </c>
    </row>
    <row r="480" spans="1:10" x14ac:dyDescent="0.25">
      <c r="A480" s="6" t="s">
        <v>483</v>
      </c>
      <c r="B480" s="6" t="s">
        <v>36</v>
      </c>
      <c r="C480" s="6" t="s">
        <v>16</v>
      </c>
      <c r="D480" s="5">
        <v>47</v>
      </c>
      <c r="E480" s="7">
        <f t="shared" si="0"/>
        <v>40642.815000000002</v>
      </c>
      <c r="F480" s="7">
        <v>54190.42</v>
      </c>
      <c r="G480" s="7">
        <v>2546949.7399999998</v>
      </c>
      <c r="H480" s="7">
        <f t="shared" si="1"/>
        <v>636737.43499999982</v>
      </c>
      <c r="I480" s="8">
        <v>45693</v>
      </c>
      <c r="J480" s="6" t="s">
        <v>27</v>
      </c>
    </row>
    <row r="481" spans="1:10" x14ac:dyDescent="0.25">
      <c r="A481" s="6" t="s">
        <v>484</v>
      </c>
      <c r="B481" s="6" t="s">
        <v>74</v>
      </c>
      <c r="C481" s="6" t="s">
        <v>39</v>
      </c>
      <c r="D481" s="5">
        <v>47</v>
      </c>
      <c r="E481" s="7">
        <f t="shared" si="0"/>
        <v>206591.7225</v>
      </c>
      <c r="F481" s="7">
        <v>275455.63</v>
      </c>
      <c r="G481" s="7">
        <v>12946414.609999999</v>
      </c>
      <c r="H481" s="7">
        <f t="shared" si="1"/>
        <v>3236603.6524999999</v>
      </c>
      <c r="I481" s="8">
        <v>45573</v>
      </c>
      <c r="J481" s="6" t="s">
        <v>13</v>
      </c>
    </row>
    <row r="482" spans="1:10" x14ac:dyDescent="0.25">
      <c r="A482" s="6" t="s">
        <v>485</v>
      </c>
      <c r="B482" s="6" t="s">
        <v>62</v>
      </c>
      <c r="C482" s="6" t="s">
        <v>66</v>
      </c>
      <c r="D482" s="5">
        <v>82</v>
      </c>
      <c r="E482" s="7">
        <f t="shared" si="0"/>
        <v>118416.93</v>
      </c>
      <c r="F482" s="7">
        <v>157889.24</v>
      </c>
      <c r="G482" s="7">
        <v>12946917.68</v>
      </c>
      <c r="H482" s="7">
        <f t="shared" si="1"/>
        <v>3236729.42</v>
      </c>
      <c r="I482" s="8">
        <v>45303</v>
      </c>
      <c r="J482" s="6" t="s">
        <v>40</v>
      </c>
    </row>
    <row r="483" spans="1:10" x14ac:dyDescent="0.25">
      <c r="A483" s="5" t="s">
        <v>10</v>
      </c>
      <c r="B483" s="6" t="s">
        <v>49</v>
      </c>
      <c r="C483" s="6" t="s">
        <v>23</v>
      </c>
      <c r="D483" s="5">
        <v>47</v>
      </c>
      <c r="E483" s="7">
        <f t="shared" si="0"/>
        <v>118165.07249999999</v>
      </c>
      <c r="F483" s="7">
        <v>157553.43</v>
      </c>
      <c r="G483" s="7">
        <v>7405011.21</v>
      </c>
      <c r="H483" s="7">
        <f t="shared" si="1"/>
        <v>1851252.8025</v>
      </c>
      <c r="I483" s="8">
        <v>45306</v>
      </c>
      <c r="J483" s="6" t="s">
        <v>27</v>
      </c>
    </row>
    <row r="484" spans="1:10" x14ac:dyDescent="0.25">
      <c r="A484" s="6" t="s">
        <v>486</v>
      </c>
      <c r="B484" s="6" t="s">
        <v>34</v>
      </c>
      <c r="C484" s="6" t="s">
        <v>12</v>
      </c>
      <c r="D484" s="5">
        <v>47</v>
      </c>
      <c r="E484" s="7">
        <f t="shared" si="0"/>
        <v>54502.627500000002</v>
      </c>
      <c r="F484" s="7">
        <v>72670.17</v>
      </c>
      <c r="G484" s="7">
        <v>3415497.9899999998</v>
      </c>
      <c r="H484" s="7">
        <f t="shared" si="1"/>
        <v>853874.49749999982</v>
      </c>
      <c r="I484" s="8">
        <v>45157</v>
      </c>
      <c r="J484" s="6" t="s">
        <v>13</v>
      </c>
    </row>
    <row r="485" spans="1:10" x14ac:dyDescent="0.25">
      <c r="A485" s="6" t="s">
        <v>487</v>
      </c>
      <c r="B485" s="6" t="s">
        <v>88</v>
      </c>
      <c r="C485" s="6" t="s">
        <v>66</v>
      </c>
      <c r="D485" s="5">
        <v>47</v>
      </c>
      <c r="E485" s="7">
        <f t="shared" si="0"/>
        <v>139593.26999999999</v>
      </c>
      <c r="F485" s="7">
        <v>186124.36</v>
      </c>
      <c r="G485" s="7">
        <v>8747844.9199999999</v>
      </c>
      <c r="H485" s="7">
        <f t="shared" si="1"/>
        <v>2186961.23</v>
      </c>
      <c r="I485" s="8">
        <v>45638</v>
      </c>
      <c r="J485" s="6" t="s">
        <v>13</v>
      </c>
    </row>
    <row r="486" spans="1:10" x14ac:dyDescent="0.25">
      <c r="A486" s="6" t="s">
        <v>488</v>
      </c>
      <c r="B486" s="6" t="s">
        <v>74</v>
      </c>
      <c r="C486" s="6" t="s">
        <v>45</v>
      </c>
      <c r="D486" s="5">
        <v>62</v>
      </c>
      <c r="E486" s="7">
        <f t="shared" si="0"/>
        <v>57074.4375</v>
      </c>
      <c r="F486" s="7">
        <v>76099.25</v>
      </c>
      <c r="G486" s="7">
        <v>4718153.5</v>
      </c>
      <c r="H486" s="7">
        <f t="shared" si="1"/>
        <v>1179538.375</v>
      </c>
      <c r="I486" s="8">
        <v>45821</v>
      </c>
      <c r="J486" s="6" t="s">
        <v>13</v>
      </c>
    </row>
    <row r="487" spans="1:10" x14ac:dyDescent="0.25">
      <c r="A487" s="6" t="s">
        <v>489</v>
      </c>
      <c r="B487" s="6" t="s">
        <v>30</v>
      </c>
      <c r="C487" s="6" t="s">
        <v>16</v>
      </c>
      <c r="D487" s="5">
        <v>47</v>
      </c>
      <c r="E487" s="7">
        <f t="shared" si="0"/>
        <v>79991.332500000004</v>
      </c>
      <c r="F487" s="7">
        <v>106655.11</v>
      </c>
      <c r="G487" s="7">
        <v>5012790.17</v>
      </c>
      <c r="H487" s="7">
        <f t="shared" si="1"/>
        <v>1253197.5424999997</v>
      </c>
      <c r="I487" s="8">
        <v>45530</v>
      </c>
      <c r="J487" s="6" t="s">
        <v>17</v>
      </c>
    </row>
    <row r="488" spans="1:10" x14ac:dyDescent="0.25">
      <c r="A488" s="6" t="s">
        <v>490</v>
      </c>
      <c r="B488" s="6" t="s">
        <v>15</v>
      </c>
      <c r="C488" s="6" t="s">
        <v>39</v>
      </c>
      <c r="D488" s="5">
        <v>47</v>
      </c>
      <c r="E488" s="7">
        <f t="shared" si="0"/>
        <v>178937.57250000001</v>
      </c>
      <c r="F488" s="7">
        <v>238583.43</v>
      </c>
      <c r="G488" s="7">
        <v>11213421.209999999</v>
      </c>
      <c r="H488" s="7">
        <f t="shared" si="1"/>
        <v>2803355.3024999993</v>
      </c>
      <c r="I488" s="8">
        <v>45293</v>
      </c>
      <c r="J488" s="6" t="s">
        <v>17</v>
      </c>
    </row>
    <row r="489" spans="1:10" x14ac:dyDescent="0.25">
      <c r="A489" s="6" t="s">
        <v>491</v>
      </c>
      <c r="B489" s="6" t="s">
        <v>88</v>
      </c>
      <c r="C489" s="6" t="s">
        <v>23</v>
      </c>
      <c r="D489" s="5">
        <v>47</v>
      </c>
      <c r="E489" s="7">
        <f t="shared" si="0"/>
        <v>18124.695</v>
      </c>
      <c r="F489" s="7">
        <v>24166.26</v>
      </c>
      <c r="G489" s="7">
        <v>1135814.22</v>
      </c>
      <c r="H489" s="7">
        <f t="shared" si="1"/>
        <v>283953.55499999993</v>
      </c>
      <c r="I489" s="8">
        <v>45613</v>
      </c>
      <c r="J489" s="6" t="s">
        <v>17</v>
      </c>
    </row>
    <row r="490" spans="1:10" x14ac:dyDescent="0.25">
      <c r="A490" s="6" t="s">
        <v>492</v>
      </c>
      <c r="B490" s="6" t="s">
        <v>88</v>
      </c>
      <c r="C490" s="6" t="s">
        <v>45</v>
      </c>
      <c r="D490" s="5">
        <v>8</v>
      </c>
      <c r="E490" s="7">
        <f t="shared" si="0"/>
        <v>215857.26750000002</v>
      </c>
      <c r="F490" s="7">
        <v>287809.69</v>
      </c>
      <c r="G490" s="7">
        <v>2302477.52</v>
      </c>
      <c r="H490" s="7">
        <f t="shared" si="1"/>
        <v>575619.37999999989</v>
      </c>
      <c r="I490" s="8">
        <v>45298</v>
      </c>
      <c r="J490" s="6" t="s">
        <v>40</v>
      </c>
    </row>
    <row r="491" spans="1:10" x14ac:dyDescent="0.25">
      <c r="A491" s="6" t="s">
        <v>493</v>
      </c>
      <c r="B491" s="6" t="s">
        <v>43</v>
      </c>
      <c r="C491" s="6" t="s">
        <v>54</v>
      </c>
      <c r="D491" s="5">
        <v>47</v>
      </c>
      <c r="E491" s="7">
        <f t="shared" si="0"/>
        <v>103477.36500000001</v>
      </c>
      <c r="F491" s="7">
        <v>137969.82</v>
      </c>
      <c r="G491" s="7">
        <v>6484581.54</v>
      </c>
      <c r="H491" s="7">
        <f t="shared" si="1"/>
        <v>1621145.385</v>
      </c>
      <c r="I491" s="8">
        <v>45158</v>
      </c>
      <c r="J491" s="6" t="s">
        <v>27</v>
      </c>
    </row>
    <row r="492" spans="1:10" x14ac:dyDescent="0.25">
      <c r="A492" s="6" t="s">
        <v>494</v>
      </c>
      <c r="B492" s="6" t="s">
        <v>36</v>
      </c>
      <c r="C492" s="6" t="s">
        <v>16</v>
      </c>
      <c r="D492" s="5">
        <v>47</v>
      </c>
      <c r="E492" s="7">
        <f t="shared" si="0"/>
        <v>118416.93</v>
      </c>
      <c r="F492" s="7">
        <v>157889.24</v>
      </c>
      <c r="G492" s="7">
        <v>7420794.2799999993</v>
      </c>
      <c r="H492" s="7">
        <f t="shared" si="1"/>
        <v>1855198.5699999998</v>
      </c>
      <c r="I492" s="8">
        <v>45195</v>
      </c>
      <c r="J492" s="6" t="s">
        <v>40</v>
      </c>
    </row>
    <row r="493" spans="1:10" x14ac:dyDescent="0.25">
      <c r="A493" s="6" t="s">
        <v>495</v>
      </c>
      <c r="B493" s="6" t="s">
        <v>34</v>
      </c>
      <c r="C493" s="6" t="s">
        <v>26</v>
      </c>
      <c r="D493" s="5">
        <v>47</v>
      </c>
      <c r="E493" s="7">
        <f t="shared" si="0"/>
        <v>55005.569999999992</v>
      </c>
      <c r="F493" s="7">
        <v>73340.759999999995</v>
      </c>
      <c r="G493" s="7">
        <v>3447015.7199999997</v>
      </c>
      <c r="H493" s="7">
        <f t="shared" si="1"/>
        <v>861753.93000000017</v>
      </c>
      <c r="I493" s="8">
        <v>45439</v>
      </c>
      <c r="J493" s="6" t="s">
        <v>40</v>
      </c>
    </row>
    <row r="494" spans="1:10" x14ac:dyDescent="0.25">
      <c r="A494" s="6" t="s">
        <v>496</v>
      </c>
      <c r="B494" s="6" t="s">
        <v>49</v>
      </c>
      <c r="C494" s="6" t="s">
        <v>16</v>
      </c>
      <c r="D494" s="5">
        <v>78</v>
      </c>
      <c r="E494" s="7">
        <f t="shared" si="0"/>
        <v>156991.71</v>
      </c>
      <c r="F494" s="7">
        <v>209322.28</v>
      </c>
      <c r="G494" s="7">
        <v>16327137.84</v>
      </c>
      <c r="H494" s="7">
        <f t="shared" si="1"/>
        <v>4081784.4600000004</v>
      </c>
      <c r="I494" s="8">
        <v>45374</v>
      </c>
      <c r="J494" s="6" t="s">
        <v>13</v>
      </c>
    </row>
    <row r="495" spans="1:10" x14ac:dyDescent="0.25">
      <c r="A495" s="6" t="s">
        <v>497</v>
      </c>
      <c r="B495" s="6" t="s">
        <v>65</v>
      </c>
      <c r="C495" s="6" t="s">
        <v>45</v>
      </c>
      <c r="D495" s="5">
        <v>47</v>
      </c>
      <c r="E495" s="7">
        <f t="shared" si="0"/>
        <v>67756.799999999988</v>
      </c>
      <c r="F495" s="7">
        <v>90342.399999999994</v>
      </c>
      <c r="G495" s="7">
        <v>4246092.8</v>
      </c>
      <c r="H495" s="7">
        <f t="shared" si="1"/>
        <v>1061523.2000000002</v>
      </c>
      <c r="I495" s="8">
        <v>45675</v>
      </c>
      <c r="J495" s="5" t="s">
        <v>10</v>
      </c>
    </row>
    <row r="496" spans="1:10" x14ac:dyDescent="0.25">
      <c r="A496" s="5" t="s">
        <v>10</v>
      </c>
      <c r="B496" s="6" t="s">
        <v>58</v>
      </c>
      <c r="C496" s="6" t="s">
        <v>23</v>
      </c>
      <c r="D496" s="5">
        <v>47</v>
      </c>
      <c r="E496" s="7">
        <f t="shared" si="0"/>
        <v>186378.4425</v>
      </c>
      <c r="F496" s="7">
        <v>248504.59</v>
      </c>
      <c r="G496" s="7">
        <v>11679715.73</v>
      </c>
      <c r="H496" s="7">
        <f t="shared" si="1"/>
        <v>2919928.9324999996</v>
      </c>
      <c r="I496" s="8">
        <v>45484</v>
      </c>
      <c r="J496" s="5" t="s">
        <v>10</v>
      </c>
    </row>
    <row r="497" spans="1:10" x14ac:dyDescent="0.25">
      <c r="A497" s="6" t="s">
        <v>498</v>
      </c>
      <c r="B497" s="6" t="s">
        <v>58</v>
      </c>
      <c r="C497" s="6" t="s">
        <v>16</v>
      </c>
      <c r="D497" s="5">
        <v>47</v>
      </c>
      <c r="E497" s="7">
        <f t="shared" si="0"/>
        <v>18483.577499999999</v>
      </c>
      <c r="F497" s="7">
        <v>24644.77</v>
      </c>
      <c r="G497" s="7">
        <v>1158304.19</v>
      </c>
      <c r="H497" s="7">
        <f t="shared" si="1"/>
        <v>289576.04750000004</v>
      </c>
      <c r="I497" s="8">
        <v>45196</v>
      </c>
      <c r="J497" s="6" t="s">
        <v>13</v>
      </c>
    </row>
    <row r="498" spans="1:10" x14ac:dyDescent="0.25">
      <c r="A498" s="6" t="s">
        <v>499</v>
      </c>
      <c r="B498" s="6" t="s">
        <v>58</v>
      </c>
      <c r="C498" s="6" t="s">
        <v>23</v>
      </c>
      <c r="D498" s="5">
        <v>47</v>
      </c>
      <c r="E498" s="7">
        <f t="shared" si="0"/>
        <v>223129.92749999999</v>
      </c>
      <c r="F498" s="7">
        <v>297506.57</v>
      </c>
      <c r="G498" s="7">
        <v>13982808.790000001</v>
      </c>
      <c r="H498" s="7">
        <f t="shared" si="1"/>
        <v>3495702.1975000007</v>
      </c>
      <c r="I498" s="8">
        <v>45647</v>
      </c>
      <c r="J498" s="5" t="s">
        <v>10</v>
      </c>
    </row>
    <row r="499" spans="1:10" x14ac:dyDescent="0.25">
      <c r="A499" s="6" t="s">
        <v>500</v>
      </c>
      <c r="B499" s="6" t="s">
        <v>43</v>
      </c>
      <c r="C499" s="6" t="s">
        <v>12</v>
      </c>
      <c r="D499" s="5">
        <v>47</v>
      </c>
      <c r="E499" s="7">
        <f t="shared" si="0"/>
        <v>146357.54250000001</v>
      </c>
      <c r="F499" s="7">
        <v>195143.39</v>
      </c>
      <c r="G499" s="7">
        <v>9171739.3300000001</v>
      </c>
      <c r="H499" s="7">
        <f t="shared" si="1"/>
        <v>2292934.8325</v>
      </c>
      <c r="I499" s="8">
        <v>45716</v>
      </c>
      <c r="J499" s="6" t="s">
        <v>40</v>
      </c>
    </row>
    <row r="500" spans="1:10" x14ac:dyDescent="0.25">
      <c r="A500" s="6" t="s">
        <v>501</v>
      </c>
      <c r="B500" s="6" t="s">
        <v>47</v>
      </c>
      <c r="C500" s="6" t="s">
        <v>23</v>
      </c>
      <c r="D500" s="5">
        <v>47</v>
      </c>
      <c r="E500" s="7">
        <f t="shared" si="0"/>
        <v>7492.1324999999997</v>
      </c>
      <c r="F500" s="7">
        <v>9989.51</v>
      </c>
      <c r="G500" s="7">
        <v>469506.97000000003</v>
      </c>
      <c r="H500" s="7">
        <f t="shared" si="1"/>
        <v>117376.74250000002</v>
      </c>
      <c r="I500" s="8">
        <v>45224</v>
      </c>
      <c r="J500" s="6" t="s">
        <v>27</v>
      </c>
    </row>
    <row r="501" spans="1:10" x14ac:dyDescent="0.25">
      <c r="A501" s="6" t="s">
        <v>502</v>
      </c>
      <c r="B501" s="6" t="s">
        <v>129</v>
      </c>
      <c r="C501" s="6" t="s">
        <v>45</v>
      </c>
      <c r="D501" s="5">
        <v>47</v>
      </c>
      <c r="E501" s="7">
        <f t="shared" si="0"/>
        <v>91410.637500000012</v>
      </c>
      <c r="F501" s="7">
        <v>121880.85</v>
      </c>
      <c r="G501" s="7">
        <v>5728399.9500000002</v>
      </c>
      <c r="H501" s="7">
        <f t="shared" si="1"/>
        <v>1432099.9874999998</v>
      </c>
      <c r="I501" s="8">
        <v>45122</v>
      </c>
      <c r="J501" s="6" t="s">
        <v>17</v>
      </c>
    </row>
    <row r="502" spans="1:10" x14ac:dyDescent="0.25">
      <c r="A502" s="6" t="s">
        <v>503</v>
      </c>
      <c r="B502" s="6" t="s">
        <v>62</v>
      </c>
      <c r="C502" s="6" t="s">
        <v>39</v>
      </c>
      <c r="D502" s="5">
        <v>47</v>
      </c>
      <c r="E502" s="7">
        <f t="shared" si="0"/>
        <v>118416.93</v>
      </c>
      <c r="F502" s="7">
        <v>157889.24</v>
      </c>
      <c r="G502" s="7">
        <v>7420794.2799999993</v>
      </c>
      <c r="H502" s="7">
        <f t="shared" si="1"/>
        <v>1855198.5699999998</v>
      </c>
      <c r="I502" s="8">
        <v>45545</v>
      </c>
      <c r="J502" s="6" t="s">
        <v>40</v>
      </c>
    </row>
    <row r="503" spans="1:10" x14ac:dyDescent="0.25">
      <c r="A503" s="6" t="s">
        <v>504</v>
      </c>
      <c r="B503" s="6" t="s">
        <v>32</v>
      </c>
      <c r="C503" s="6" t="s">
        <v>12</v>
      </c>
      <c r="D503" s="5">
        <v>58</v>
      </c>
      <c r="E503" s="7">
        <f t="shared" si="0"/>
        <v>85096.717499999999</v>
      </c>
      <c r="F503" s="7">
        <v>113462.29</v>
      </c>
      <c r="G503" s="7">
        <v>6580812.8200000003</v>
      </c>
      <c r="H503" s="7">
        <f t="shared" si="1"/>
        <v>1645203.2049999996</v>
      </c>
      <c r="I503" s="8">
        <v>45839</v>
      </c>
      <c r="J503" s="6" t="s">
        <v>40</v>
      </c>
    </row>
    <row r="504" spans="1:10" x14ac:dyDescent="0.25">
      <c r="A504" s="6" t="s">
        <v>505</v>
      </c>
      <c r="B504" s="6" t="s">
        <v>88</v>
      </c>
      <c r="C504" s="6" t="s">
        <v>39</v>
      </c>
      <c r="D504" s="5">
        <v>19</v>
      </c>
      <c r="E504" s="7">
        <f t="shared" si="0"/>
        <v>107297.64749999999</v>
      </c>
      <c r="F504" s="7">
        <v>143063.53</v>
      </c>
      <c r="G504" s="7">
        <v>2718207.07</v>
      </c>
      <c r="H504" s="7">
        <f t="shared" si="1"/>
        <v>679551.76750000007</v>
      </c>
      <c r="I504" s="8">
        <v>45240</v>
      </c>
      <c r="J504" s="6" t="s">
        <v>27</v>
      </c>
    </row>
    <row r="505" spans="1:10" x14ac:dyDescent="0.25">
      <c r="A505" s="6" t="s">
        <v>506</v>
      </c>
      <c r="B505" s="6" t="s">
        <v>47</v>
      </c>
      <c r="C505" s="6" t="s">
        <v>16</v>
      </c>
      <c r="D505" s="5">
        <v>47</v>
      </c>
      <c r="E505" s="7">
        <f t="shared" si="0"/>
        <v>143404.53749999998</v>
      </c>
      <c r="F505" s="7">
        <v>191206.05</v>
      </c>
      <c r="G505" s="7">
        <v>8986684.3499999996</v>
      </c>
      <c r="H505" s="7">
        <f t="shared" si="1"/>
        <v>2246671.0875000004</v>
      </c>
      <c r="I505" s="8">
        <v>45434</v>
      </c>
      <c r="J505" s="5" t="s">
        <v>10</v>
      </c>
    </row>
    <row r="506" spans="1:10" x14ac:dyDescent="0.25">
      <c r="A506" s="6" t="s">
        <v>507</v>
      </c>
      <c r="B506" s="6" t="s">
        <v>49</v>
      </c>
      <c r="C506" s="6" t="s">
        <v>26</v>
      </c>
      <c r="D506" s="5">
        <v>47</v>
      </c>
      <c r="E506" s="7">
        <f t="shared" si="0"/>
        <v>158251.59</v>
      </c>
      <c r="F506" s="7">
        <v>211002.12</v>
      </c>
      <c r="G506" s="7">
        <v>9917099.6400000006</v>
      </c>
      <c r="H506" s="7">
        <f t="shared" si="1"/>
        <v>2479274.91</v>
      </c>
      <c r="I506" s="8">
        <v>45625</v>
      </c>
      <c r="J506" s="6" t="s">
        <v>27</v>
      </c>
    </row>
    <row r="507" spans="1:10" x14ac:dyDescent="0.25">
      <c r="A507" s="6" t="s">
        <v>508</v>
      </c>
      <c r="B507" s="6" t="s">
        <v>65</v>
      </c>
      <c r="C507" s="6" t="s">
        <v>54</v>
      </c>
      <c r="D507" s="5">
        <v>54</v>
      </c>
      <c r="E507" s="7">
        <f t="shared" si="0"/>
        <v>18948.3675</v>
      </c>
      <c r="F507" s="7">
        <v>25264.49</v>
      </c>
      <c r="G507" s="7">
        <v>1364282.46</v>
      </c>
      <c r="H507" s="7">
        <f t="shared" si="1"/>
        <v>341070.61500000005</v>
      </c>
      <c r="I507" s="8">
        <v>45844</v>
      </c>
      <c r="J507" s="6" t="s">
        <v>40</v>
      </c>
    </row>
    <row r="508" spans="1:10" x14ac:dyDescent="0.25">
      <c r="A508" s="6" t="s">
        <v>509</v>
      </c>
      <c r="B508" s="6" t="s">
        <v>32</v>
      </c>
      <c r="C508" s="6" t="s">
        <v>45</v>
      </c>
      <c r="D508" s="5">
        <v>47</v>
      </c>
      <c r="E508" s="7">
        <f t="shared" si="0"/>
        <v>190257.20249999998</v>
      </c>
      <c r="F508" s="7">
        <v>253676.27</v>
      </c>
      <c r="G508" s="7">
        <v>11922784.689999999</v>
      </c>
      <c r="H508" s="7">
        <f t="shared" si="1"/>
        <v>2980696.1725000003</v>
      </c>
      <c r="I508" s="8">
        <v>45802</v>
      </c>
      <c r="J508" s="6" t="s">
        <v>13</v>
      </c>
    </row>
    <row r="509" spans="1:10" x14ac:dyDescent="0.25">
      <c r="A509" s="5" t="s">
        <v>10</v>
      </c>
      <c r="B509" s="6" t="s">
        <v>21</v>
      </c>
      <c r="C509" s="6" t="s">
        <v>39</v>
      </c>
      <c r="D509" s="5">
        <v>47</v>
      </c>
      <c r="E509" s="7">
        <f t="shared" si="0"/>
        <v>145237.29</v>
      </c>
      <c r="F509" s="7">
        <v>193649.72</v>
      </c>
      <c r="G509" s="7">
        <v>9101536.8399999999</v>
      </c>
      <c r="H509" s="7">
        <f t="shared" si="1"/>
        <v>2275384.2099999995</v>
      </c>
      <c r="I509" s="8">
        <v>45800</v>
      </c>
      <c r="J509" s="6" t="s">
        <v>13</v>
      </c>
    </row>
    <row r="510" spans="1:10" x14ac:dyDescent="0.25">
      <c r="A510" s="6" t="s">
        <v>510</v>
      </c>
      <c r="B510" s="6" t="s">
        <v>88</v>
      </c>
      <c r="C510" s="6" t="s">
        <v>54</v>
      </c>
      <c r="D510" s="5">
        <v>41</v>
      </c>
      <c r="E510" s="7">
        <f t="shared" si="0"/>
        <v>74786.662500000006</v>
      </c>
      <c r="F510" s="7">
        <v>99715.55</v>
      </c>
      <c r="G510" s="7">
        <v>4088337.55</v>
      </c>
      <c r="H510" s="7">
        <f t="shared" si="1"/>
        <v>1022084.3874999998</v>
      </c>
      <c r="I510" s="8">
        <v>45487</v>
      </c>
      <c r="J510" s="6" t="s">
        <v>40</v>
      </c>
    </row>
    <row r="511" spans="1:10" x14ac:dyDescent="0.25">
      <c r="A511" s="6" t="s">
        <v>511</v>
      </c>
      <c r="B511" s="6" t="s">
        <v>21</v>
      </c>
      <c r="C511" s="6" t="s">
        <v>66</v>
      </c>
      <c r="D511" s="5">
        <v>98</v>
      </c>
      <c r="E511" s="7">
        <f t="shared" si="0"/>
        <v>219907.57499999998</v>
      </c>
      <c r="F511" s="7">
        <v>293210.09999999998</v>
      </c>
      <c r="G511" s="7">
        <v>28734589.800000001</v>
      </c>
      <c r="H511" s="7">
        <f t="shared" si="1"/>
        <v>7183647.4499999993</v>
      </c>
      <c r="I511" s="8">
        <v>45488</v>
      </c>
      <c r="J511" s="6" t="s">
        <v>13</v>
      </c>
    </row>
    <row r="512" spans="1:10" x14ac:dyDescent="0.25">
      <c r="A512" s="6" t="s">
        <v>512</v>
      </c>
      <c r="B512" s="6" t="s">
        <v>43</v>
      </c>
      <c r="C512" s="6" t="s">
        <v>23</v>
      </c>
      <c r="D512" s="5">
        <v>47</v>
      </c>
      <c r="E512" s="7">
        <f t="shared" si="0"/>
        <v>118416.93</v>
      </c>
      <c r="F512" s="7">
        <v>157889.24</v>
      </c>
      <c r="G512" s="7">
        <v>7420794.2799999993</v>
      </c>
      <c r="H512" s="7">
        <f t="shared" si="1"/>
        <v>1855198.5699999998</v>
      </c>
      <c r="I512" s="8">
        <v>45623</v>
      </c>
      <c r="J512" s="5" t="s">
        <v>10</v>
      </c>
    </row>
    <row r="513" spans="1:10" x14ac:dyDescent="0.25">
      <c r="A513" s="6" t="s">
        <v>513</v>
      </c>
      <c r="B513" s="6" t="s">
        <v>25</v>
      </c>
      <c r="C513" s="6" t="s">
        <v>39</v>
      </c>
      <c r="D513" s="5">
        <v>47</v>
      </c>
      <c r="E513" s="7">
        <f t="shared" si="0"/>
        <v>219123.75</v>
      </c>
      <c r="F513" s="7">
        <v>292165</v>
      </c>
      <c r="G513" s="7">
        <v>13731755</v>
      </c>
      <c r="H513" s="7">
        <f t="shared" si="1"/>
        <v>3432938.75</v>
      </c>
      <c r="I513" s="8">
        <v>45272</v>
      </c>
      <c r="J513" s="6" t="s">
        <v>27</v>
      </c>
    </row>
    <row r="514" spans="1:10" x14ac:dyDescent="0.25">
      <c r="A514" s="6" t="s">
        <v>514</v>
      </c>
      <c r="B514" s="6" t="s">
        <v>15</v>
      </c>
      <c r="C514" s="6" t="s">
        <v>12</v>
      </c>
      <c r="D514" s="5">
        <v>47</v>
      </c>
      <c r="E514" s="7">
        <f t="shared" si="0"/>
        <v>201367.47749999998</v>
      </c>
      <c r="F514" s="7">
        <v>268489.96999999997</v>
      </c>
      <c r="G514" s="7">
        <v>12619028.589999998</v>
      </c>
      <c r="H514" s="7">
        <f t="shared" si="1"/>
        <v>3154757.1474999995</v>
      </c>
      <c r="I514" s="8">
        <v>45705</v>
      </c>
      <c r="J514" s="6" t="s">
        <v>17</v>
      </c>
    </row>
    <row r="515" spans="1:10" x14ac:dyDescent="0.25">
      <c r="A515" s="6" t="s">
        <v>515</v>
      </c>
      <c r="B515" s="6" t="s">
        <v>38</v>
      </c>
      <c r="C515" s="6" t="s">
        <v>45</v>
      </c>
      <c r="D515" s="5">
        <v>3</v>
      </c>
      <c r="E515" s="7">
        <f t="shared" si="0"/>
        <v>206839.5675</v>
      </c>
      <c r="F515" s="7">
        <v>275786.09000000003</v>
      </c>
      <c r="G515" s="7">
        <v>827358.27</v>
      </c>
      <c r="H515" s="7">
        <f t="shared" si="1"/>
        <v>206839.56750000006</v>
      </c>
      <c r="I515" s="8">
        <v>45341</v>
      </c>
      <c r="J515" s="6" t="s">
        <v>27</v>
      </c>
    </row>
    <row r="516" spans="1:10" x14ac:dyDescent="0.25">
      <c r="A516" s="6" t="s">
        <v>516</v>
      </c>
      <c r="B516" s="6" t="s">
        <v>21</v>
      </c>
      <c r="C516" s="6" t="s">
        <v>23</v>
      </c>
      <c r="D516" s="5">
        <v>47</v>
      </c>
      <c r="E516" s="7">
        <f t="shared" si="0"/>
        <v>51986.302500000005</v>
      </c>
      <c r="F516" s="7">
        <v>69315.070000000007</v>
      </c>
      <c r="G516" s="7">
        <v>3257808.2900000005</v>
      </c>
      <c r="H516" s="7">
        <f t="shared" si="1"/>
        <v>814452.07250000013</v>
      </c>
      <c r="I516" s="8">
        <v>45367</v>
      </c>
      <c r="J516" s="6" t="s">
        <v>17</v>
      </c>
    </row>
    <row r="517" spans="1:10" x14ac:dyDescent="0.25">
      <c r="A517" s="6" t="s">
        <v>517</v>
      </c>
      <c r="B517" s="6" t="s">
        <v>129</v>
      </c>
      <c r="C517" s="6" t="s">
        <v>54</v>
      </c>
      <c r="D517" s="5">
        <v>59</v>
      </c>
      <c r="E517" s="7">
        <f t="shared" si="0"/>
        <v>202823.4375</v>
      </c>
      <c r="F517" s="7">
        <v>270431.25</v>
      </c>
      <c r="G517" s="7">
        <v>15955443.75</v>
      </c>
      <c r="H517" s="7">
        <f t="shared" si="1"/>
        <v>3988860.9375</v>
      </c>
      <c r="I517" s="8">
        <v>45339</v>
      </c>
      <c r="J517" s="6" t="s">
        <v>40</v>
      </c>
    </row>
    <row r="518" spans="1:10" x14ac:dyDescent="0.25">
      <c r="A518" s="6" t="s">
        <v>518</v>
      </c>
      <c r="B518" s="6" t="s">
        <v>49</v>
      </c>
      <c r="C518" s="6" t="s">
        <v>45</v>
      </c>
      <c r="D518" s="5">
        <v>47</v>
      </c>
      <c r="E518" s="7">
        <f t="shared" si="0"/>
        <v>155880.1275</v>
      </c>
      <c r="F518" s="7">
        <v>207840.17</v>
      </c>
      <c r="G518" s="7">
        <v>9768487.9900000002</v>
      </c>
      <c r="H518" s="7">
        <f t="shared" si="1"/>
        <v>2442121.9975000005</v>
      </c>
      <c r="I518" s="8">
        <v>45619</v>
      </c>
      <c r="J518" s="6" t="s">
        <v>40</v>
      </c>
    </row>
    <row r="519" spans="1:10" x14ac:dyDescent="0.25">
      <c r="A519" s="6" t="s">
        <v>519</v>
      </c>
      <c r="B519" s="6" t="s">
        <v>32</v>
      </c>
      <c r="C519" s="6" t="s">
        <v>39</v>
      </c>
      <c r="D519" s="5">
        <v>46</v>
      </c>
      <c r="E519" s="7">
        <f t="shared" si="0"/>
        <v>127688.88750000001</v>
      </c>
      <c r="F519" s="7">
        <v>170251.85</v>
      </c>
      <c r="G519" s="7">
        <v>7831585.0999999996</v>
      </c>
      <c r="H519" s="7">
        <f t="shared" si="1"/>
        <v>1957896.2749999997</v>
      </c>
      <c r="I519" s="8">
        <v>45163</v>
      </c>
      <c r="J519" s="6" t="s">
        <v>17</v>
      </c>
    </row>
    <row r="520" spans="1:10" x14ac:dyDescent="0.25">
      <c r="A520" s="6" t="s">
        <v>520</v>
      </c>
      <c r="B520" s="6" t="s">
        <v>58</v>
      </c>
      <c r="C520" s="6" t="s">
        <v>26</v>
      </c>
      <c r="D520" s="5">
        <v>47</v>
      </c>
      <c r="E520" s="7">
        <f t="shared" si="0"/>
        <v>61269.727500000001</v>
      </c>
      <c r="F520" s="7">
        <v>81692.97</v>
      </c>
      <c r="G520" s="7">
        <v>3839569.59</v>
      </c>
      <c r="H520" s="7">
        <f t="shared" si="1"/>
        <v>959892.39749999996</v>
      </c>
      <c r="I520" s="8">
        <v>45823</v>
      </c>
      <c r="J520" s="6" t="s">
        <v>13</v>
      </c>
    </row>
    <row r="521" spans="1:10" x14ac:dyDescent="0.25">
      <c r="A521" s="6" t="s">
        <v>521</v>
      </c>
      <c r="B521" s="6" t="s">
        <v>36</v>
      </c>
      <c r="C521" s="6" t="s">
        <v>12</v>
      </c>
      <c r="D521" s="5">
        <v>47</v>
      </c>
      <c r="E521" s="7">
        <f t="shared" si="0"/>
        <v>207964.27500000002</v>
      </c>
      <c r="F521" s="7">
        <v>277285.7</v>
      </c>
      <c r="G521" s="7">
        <v>13032427.9</v>
      </c>
      <c r="H521" s="7">
        <f t="shared" si="1"/>
        <v>3258106.9749999996</v>
      </c>
      <c r="I521" s="8">
        <v>45715</v>
      </c>
      <c r="J521" s="6" t="s">
        <v>40</v>
      </c>
    </row>
    <row r="522" spans="1:10" x14ac:dyDescent="0.25">
      <c r="A522" s="5" t="s">
        <v>10</v>
      </c>
      <c r="B522" s="6" t="s">
        <v>34</v>
      </c>
      <c r="C522" s="6" t="s">
        <v>66</v>
      </c>
      <c r="D522" s="5">
        <v>47</v>
      </c>
      <c r="E522" s="7">
        <f t="shared" si="0"/>
        <v>118416.93</v>
      </c>
      <c r="F522" s="7">
        <v>157889.24</v>
      </c>
      <c r="G522" s="7">
        <v>7420794.2799999993</v>
      </c>
      <c r="H522" s="7">
        <f t="shared" si="1"/>
        <v>1855198.5699999998</v>
      </c>
      <c r="I522" s="8">
        <v>45187</v>
      </c>
      <c r="J522" s="5" t="s">
        <v>10</v>
      </c>
    </row>
    <row r="523" spans="1:10" x14ac:dyDescent="0.25">
      <c r="A523" s="6" t="s">
        <v>522</v>
      </c>
      <c r="B523" s="6" t="s">
        <v>43</v>
      </c>
      <c r="C523" s="6" t="s">
        <v>45</v>
      </c>
      <c r="D523" s="5">
        <v>47</v>
      </c>
      <c r="E523" s="7">
        <f t="shared" si="0"/>
        <v>154114.8075</v>
      </c>
      <c r="F523" s="7">
        <v>205486.41</v>
      </c>
      <c r="G523" s="7">
        <v>9657861.2699999996</v>
      </c>
      <c r="H523" s="7">
        <f t="shared" si="1"/>
        <v>2414465.3175000004</v>
      </c>
      <c r="I523" s="8">
        <v>45624</v>
      </c>
      <c r="J523" s="5" t="s">
        <v>10</v>
      </c>
    </row>
    <row r="524" spans="1:10" x14ac:dyDescent="0.25">
      <c r="A524" s="6" t="s">
        <v>523</v>
      </c>
      <c r="B524" s="6" t="s">
        <v>74</v>
      </c>
      <c r="C524" s="6" t="s">
        <v>26</v>
      </c>
      <c r="D524" s="5">
        <v>69</v>
      </c>
      <c r="E524" s="7">
        <f t="shared" si="0"/>
        <v>63353.79</v>
      </c>
      <c r="F524" s="7">
        <v>84471.72</v>
      </c>
      <c r="G524" s="7">
        <v>5828548.6799999997</v>
      </c>
      <c r="H524" s="7">
        <f t="shared" si="1"/>
        <v>1457137.17</v>
      </c>
      <c r="I524" s="8">
        <v>45563</v>
      </c>
      <c r="J524" s="5" t="s">
        <v>10</v>
      </c>
    </row>
    <row r="525" spans="1:10" x14ac:dyDescent="0.25">
      <c r="A525" s="6" t="s">
        <v>524</v>
      </c>
      <c r="B525" s="6" t="s">
        <v>129</v>
      </c>
      <c r="C525" s="6" t="s">
        <v>39</v>
      </c>
      <c r="D525" s="5">
        <v>47</v>
      </c>
      <c r="E525" s="7">
        <f t="shared" si="0"/>
        <v>122353.2675</v>
      </c>
      <c r="F525" s="7">
        <v>163137.69</v>
      </c>
      <c r="G525" s="7">
        <v>7667471.4299999997</v>
      </c>
      <c r="H525" s="7">
        <f t="shared" si="1"/>
        <v>1916867.8574999999</v>
      </c>
      <c r="I525" s="8">
        <v>45298</v>
      </c>
      <c r="J525" s="5" t="s">
        <v>10</v>
      </c>
    </row>
    <row r="526" spans="1:10" x14ac:dyDescent="0.25">
      <c r="A526" s="6" t="s">
        <v>525</v>
      </c>
      <c r="B526" s="6" t="s">
        <v>74</v>
      </c>
      <c r="C526" s="6" t="s">
        <v>12</v>
      </c>
      <c r="D526" s="5">
        <v>47</v>
      </c>
      <c r="E526" s="7">
        <f t="shared" si="0"/>
        <v>148202.79</v>
      </c>
      <c r="F526" s="7">
        <v>197603.72</v>
      </c>
      <c r="G526" s="7">
        <v>9287374.8399999999</v>
      </c>
      <c r="H526" s="7">
        <f t="shared" si="1"/>
        <v>2321843.7099999995</v>
      </c>
      <c r="I526" s="8">
        <v>45533</v>
      </c>
      <c r="J526" s="6" t="s">
        <v>17</v>
      </c>
    </row>
    <row r="527" spans="1:10" x14ac:dyDescent="0.25">
      <c r="A527" s="6" t="s">
        <v>526</v>
      </c>
      <c r="B527" s="6" t="s">
        <v>21</v>
      </c>
      <c r="C527" s="6" t="s">
        <v>23</v>
      </c>
      <c r="D527" s="5">
        <v>47</v>
      </c>
      <c r="E527" s="7">
        <f t="shared" si="0"/>
        <v>40662.502500000002</v>
      </c>
      <c r="F527" s="7">
        <v>54216.67</v>
      </c>
      <c r="G527" s="7">
        <v>2548183.4899999998</v>
      </c>
      <c r="H527" s="7">
        <f t="shared" si="1"/>
        <v>637045.87249999982</v>
      </c>
      <c r="I527" s="8">
        <v>45691</v>
      </c>
      <c r="J527" s="6" t="s">
        <v>13</v>
      </c>
    </row>
    <row r="528" spans="1:10" x14ac:dyDescent="0.25">
      <c r="A528" s="6" t="s">
        <v>527</v>
      </c>
      <c r="B528" s="6" t="s">
        <v>25</v>
      </c>
      <c r="C528" s="6" t="s">
        <v>54</v>
      </c>
      <c r="D528" s="5">
        <v>47</v>
      </c>
      <c r="E528" s="7">
        <f t="shared" si="0"/>
        <v>191402.30249999999</v>
      </c>
      <c r="F528" s="7">
        <v>255203.07</v>
      </c>
      <c r="G528" s="7">
        <v>11994544.290000001</v>
      </c>
      <c r="H528" s="7">
        <f t="shared" si="1"/>
        <v>2998636.0725000007</v>
      </c>
      <c r="I528" s="8">
        <v>45679</v>
      </c>
      <c r="J528" s="6" t="s">
        <v>17</v>
      </c>
    </row>
    <row r="529" spans="1:10" x14ac:dyDescent="0.25">
      <c r="A529" s="6" t="s">
        <v>528</v>
      </c>
      <c r="B529" s="6" t="s">
        <v>15</v>
      </c>
      <c r="C529" s="6" t="s">
        <v>39</v>
      </c>
      <c r="D529" s="5">
        <v>47</v>
      </c>
      <c r="E529" s="7">
        <f t="shared" si="0"/>
        <v>3892.2000000000003</v>
      </c>
      <c r="F529" s="7">
        <v>5189.6000000000004</v>
      </c>
      <c r="G529" s="7">
        <v>243911.2</v>
      </c>
      <c r="H529" s="7">
        <f t="shared" si="1"/>
        <v>60977.8</v>
      </c>
      <c r="I529" s="8">
        <v>45778</v>
      </c>
      <c r="J529" s="6" t="s">
        <v>40</v>
      </c>
    </row>
    <row r="530" spans="1:10" x14ac:dyDescent="0.25">
      <c r="A530" s="6" t="s">
        <v>529</v>
      </c>
      <c r="B530" s="6" t="s">
        <v>11</v>
      </c>
      <c r="C530" s="6" t="s">
        <v>16</v>
      </c>
      <c r="D530" s="5">
        <v>52</v>
      </c>
      <c r="E530" s="7">
        <f t="shared" si="0"/>
        <v>46907.895000000004</v>
      </c>
      <c r="F530" s="7">
        <v>62543.86</v>
      </c>
      <c r="G530" s="7">
        <v>3252280.72</v>
      </c>
      <c r="H530" s="7">
        <f t="shared" si="1"/>
        <v>813070.17999999982</v>
      </c>
      <c r="I530" s="8">
        <v>45845</v>
      </c>
      <c r="J530" s="5" t="s">
        <v>10</v>
      </c>
    </row>
    <row r="531" spans="1:10" x14ac:dyDescent="0.25">
      <c r="A531" s="6" t="s">
        <v>530</v>
      </c>
      <c r="B531" s="6" t="s">
        <v>36</v>
      </c>
      <c r="C531" s="6" t="s">
        <v>66</v>
      </c>
      <c r="D531" s="5">
        <v>47</v>
      </c>
      <c r="E531" s="7">
        <f t="shared" si="0"/>
        <v>32764.027500000004</v>
      </c>
      <c r="F531" s="7">
        <v>43685.37</v>
      </c>
      <c r="G531" s="7">
        <v>2053212.3900000001</v>
      </c>
      <c r="H531" s="7">
        <f t="shared" si="1"/>
        <v>513303.09749999992</v>
      </c>
      <c r="I531" s="8">
        <v>45146</v>
      </c>
      <c r="J531" s="5" t="s">
        <v>10</v>
      </c>
    </row>
    <row r="532" spans="1:10" x14ac:dyDescent="0.25">
      <c r="A532" s="6" t="s">
        <v>531</v>
      </c>
      <c r="B532" s="6" t="s">
        <v>21</v>
      </c>
      <c r="C532" s="6" t="s">
        <v>66</v>
      </c>
      <c r="D532" s="5">
        <v>47</v>
      </c>
      <c r="E532" s="7">
        <f t="shared" si="0"/>
        <v>118416.93</v>
      </c>
      <c r="F532" s="7">
        <v>157889.24</v>
      </c>
      <c r="G532" s="7">
        <v>7420794.2799999993</v>
      </c>
      <c r="H532" s="7">
        <f t="shared" si="1"/>
        <v>1855198.5699999998</v>
      </c>
      <c r="I532" s="8">
        <v>45827</v>
      </c>
      <c r="J532" s="5" t="s">
        <v>10</v>
      </c>
    </row>
    <row r="533" spans="1:10" x14ac:dyDescent="0.25">
      <c r="A533" s="6" t="s">
        <v>532</v>
      </c>
      <c r="B533" s="6" t="s">
        <v>62</v>
      </c>
      <c r="C533" s="6" t="s">
        <v>23</v>
      </c>
      <c r="D533" s="5">
        <v>47</v>
      </c>
      <c r="E533" s="7">
        <f t="shared" si="0"/>
        <v>184722.66</v>
      </c>
      <c r="F533" s="7">
        <v>246296.88</v>
      </c>
      <c r="G533" s="7">
        <v>11575953.359999999</v>
      </c>
      <c r="H533" s="7">
        <f t="shared" si="1"/>
        <v>2893988.34</v>
      </c>
      <c r="I533" s="8">
        <v>45833</v>
      </c>
      <c r="J533" s="6" t="s">
        <v>40</v>
      </c>
    </row>
    <row r="534" spans="1:10" x14ac:dyDescent="0.25">
      <c r="A534" s="6" t="s">
        <v>533</v>
      </c>
      <c r="B534" s="6" t="s">
        <v>47</v>
      </c>
      <c r="C534" s="6" t="s">
        <v>12</v>
      </c>
      <c r="D534" s="5">
        <v>47</v>
      </c>
      <c r="E534" s="7">
        <f t="shared" si="0"/>
        <v>184770.20249999998</v>
      </c>
      <c r="F534" s="7">
        <v>246360.27</v>
      </c>
      <c r="G534" s="7">
        <v>11578932.689999999</v>
      </c>
      <c r="H534" s="7">
        <f t="shared" si="1"/>
        <v>2894733.1725000003</v>
      </c>
      <c r="I534" s="8">
        <v>45253</v>
      </c>
      <c r="J534" s="6" t="s">
        <v>27</v>
      </c>
    </row>
    <row r="535" spans="1:10" x14ac:dyDescent="0.25">
      <c r="A535" s="5" t="s">
        <v>10</v>
      </c>
      <c r="B535" s="6" t="s">
        <v>58</v>
      </c>
      <c r="C535" s="6" t="s">
        <v>39</v>
      </c>
      <c r="D535" s="5">
        <v>47</v>
      </c>
      <c r="E535" s="7">
        <f t="shared" si="0"/>
        <v>209023.52999999997</v>
      </c>
      <c r="F535" s="7">
        <v>278698.03999999998</v>
      </c>
      <c r="G535" s="7">
        <v>13098807.879999999</v>
      </c>
      <c r="H535" s="7">
        <f t="shared" si="1"/>
        <v>3274701.9700000007</v>
      </c>
      <c r="I535" s="8">
        <v>45442</v>
      </c>
      <c r="J535" s="6" t="s">
        <v>17</v>
      </c>
    </row>
    <row r="536" spans="1:10" x14ac:dyDescent="0.25">
      <c r="A536" s="6" t="s">
        <v>534</v>
      </c>
      <c r="B536" s="6" t="s">
        <v>38</v>
      </c>
      <c r="C536" s="6" t="s">
        <v>39</v>
      </c>
      <c r="D536" s="5">
        <v>47</v>
      </c>
      <c r="E536" s="7">
        <f t="shared" si="0"/>
        <v>67600.072499999995</v>
      </c>
      <c r="F536" s="7">
        <v>90133.43</v>
      </c>
      <c r="G536" s="7">
        <v>4236271.21</v>
      </c>
      <c r="H536" s="7">
        <f t="shared" si="1"/>
        <v>1059067.8025</v>
      </c>
      <c r="I536" s="8">
        <v>45803</v>
      </c>
      <c r="J536" s="6" t="s">
        <v>13</v>
      </c>
    </row>
    <row r="537" spans="1:10" x14ac:dyDescent="0.25">
      <c r="A537" s="6" t="s">
        <v>535</v>
      </c>
      <c r="B537" s="6" t="s">
        <v>30</v>
      </c>
      <c r="C537" s="6" t="s">
        <v>26</v>
      </c>
      <c r="D537" s="5">
        <v>47</v>
      </c>
      <c r="E537" s="7">
        <f t="shared" si="0"/>
        <v>127054.11000000002</v>
      </c>
      <c r="F537" s="7">
        <v>169405.48</v>
      </c>
      <c r="G537" s="7">
        <v>7962057.5600000005</v>
      </c>
      <c r="H537" s="7">
        <f t="shared" si="1"/>
        <v>1990514.3899999997</v>
      </c>
      <c r="I537" s="8">
        <v>45768</v>
      </c>
      <c r="J537" s="6" t="s">
        <v>40</v>
      </c>
    </row>
    <row r="538" spans="1:10" x14ac:dyDescent="0.25">
      <c r="A538" s="6" t="s">
        <v>536</v>
      </c>
      <c r="B538" s="6" t="s">
        <v>21</v>
      </c>
      <c r="C538" s="6" t="s">
        <v>16</v>
      </c>
      <c r="D538" s="5">
        <v>47</v>
      </c>
      <c r="E538" s="7">
        <f t="shared" si="0"/>
        <v>127669.07249999999</v>
      </c>
      <c r="F538" s="7">
        <v>170225.43</v>
      </c>
      <c r="G538" s="7">
        <v>8000595.21</v>
      </c>
      <c r="H538" s="7">
        <f t="shared" si="1"/>
        <v>2000148.8025</v>
      </c>
      <c r="I538" s="8">
        <v>45254</v>
      </c>
      <c r="J538" s="6" t="s">
        <v>27</v>
      </c>
    </row>
    <row r="539" spans="1:10" x14ac:dyDescent="0.25">
      <c r="A539" s="6" t="s">
        <v>537</v>
      </c>
      <c r="B539" s="6" t="s">
        <v>11</v>
      </c>
      <c r="C539" s="6" t="s">
        <v>54</v>
      </c>
      <c r="D539" s="5">
        <v>16</v>
      </c>
      <c r="E539" s="7">
        <f t="shared" si="0"/>
        <v>191181.00750000001</v>
      </c>
      <c r="F539" s="7">
        <v>254908.01</v>
      </c>
      <c r="G539" s="7">
        <v>4078528.16</v>
      </c>
      <c r="H539" s="7">
        <f t="shared" si="1"/>
        <v>1019632.04</v>
      </c>
      <c r="I539" s="8">
        <v>45843</v>
      </c>
      <c r="J539" s="6" t="s">
        <v>27</v>
      </c>
    </row>
    <row r="540" spans="1:10" x14ac:dyDescent="0.25">
      <c r="A540" s="6" t="s">
        <v>538</v>
      </c>
      <c r="B540" s="6" t="s">
        <v>58</v>
      </c>
      <c r="C540" s="6" t="s">
        <v>12</v>
      </c>
      <c r="D540" s="5">
        <v>47</v>
      </c>
      <c r="E540" s="7">
        <f t="shared" si="0"/>
        <v>152453.97750000001</v>
      </c>
      <c r="F540" s="7">
        <v>203271.97</v>
      </c>
      <c r="G540" s="7">
        <v>9553782.5899999999</v>
      </c>
      <c r="H540" s="7">
        <f t="shared" si="1"/>
        <v>2388445.6474999995</v>
      </c>
      <c r="I540" s="8">
        <v>45832</v>
      </c>
      <c r="J540" s="6" t="s">
        <v>13</v>
      </c>
    </row>
    <row r="541" spans="1:10" x14ac:dyDescent="0.25">
      <c r="A541" s="6" t="s">
        <v>539</v>
      </c>
      <c r="B541" s="6" t="s">
        <v>25</v>
      </c>
      <c r="C541" s="6" t="s">
        <v>45</v>
      </c>
      <c r="D541" s="5">
        <v>47</v>
      </c>
      <c r="E541" s="7">
        <f t="shared" si="0"/>
        <v>121798.83750000001</v>
      </c>
      <c r="F541" s="7">
        <v>162398.45000000001</v>
      </c>
      <c r="G541" s="7">
        <v>7632727.1500000004</v>
      </c>
      <c r="H541" s="7">
        <f t="shared" si="1"/>
        <v>1908181.7875000001</v>
      </c>
      <c r="I541" s="8">
        <v>45146</v>
      </c>
      <c r="J541" s="6" t="s">
        <v>40</v>
      </c>
    </row>
    <row r="542" spans="1:10" x14ac:dyDescent="0.25">
      <c r="A542" s="6" t="s">
        <v>540</v>
      </c>
      <c r="B542" s="6" t="s">
        <v>58</v>
      </c>
      <c r="C542" s="6" t="s">
        <v>54</v>
      </c>
      <c r="D542" s="5">
        <v>47</v>
      </c>
      <c r="E542" s="7">
        <f t="shared" si="0"/>
        <v>118416.93</v>
      </c>
      <c r="F542" s="7">
        <v>157889.24</v>
      </c>
      <c r="G542" s="7">
        <v>7420794.2799999993</v>
      </c>
      <c r="H542" s="7">
        <f t="shared" si="1"/>
        <v>1855198.5699999998</v>
      </c>
      <c r="I542" s="8">
        <v>45767</v>
      </c>
      <c r="J542" s="6" t="s">
        <v>27</v>
      </c>
    </row>
    <row r="543" spans="1:10" x14ac:dyDescent="0.25">
      <c r="A543" s="6" t="s">
        <v>541</v>
      </c>
      <c r="B543" s="6" t="s">
        <v>47</v>
      </c>
      <c r="C543" s="6" t="s">
        <v>16</v>
      </c>
      <c r="D543" s="5">
        <v>97</v>
      </c>
      <c r="E543" s="7">
        <f t="shared" si="0"/>
        <v>86596.455000000002</v>
      </c>
      <c r="F543" s="7">
        <v>115461.94</v>
      </c>
      <c r="G543" s="7">
        <v>11199808.18</v>
      </c>
      <c r="H543" s="7">
        <f t="shared" si="1"/>
        <v>2799952.0449999999</v>
      </c>
      <c r="I543" s="8">
        <v>45426</v>
      </c>
      <c r="J543" s="5" t="s">
        <v>10</v>
      </c>
    </row>
    <row r="544" spans="1:10" x14ac:dyDescent="0.25">
      <c r="A544" s="6" t="s">
        <v>542</v>
      </c>
      <c r="B544" s="6" t="s">
        <v>30</v>
      </c>
      <c r="C544" s="6" t="s">
        <v>54</v>
      </c>
      <c r="D544" s="5">
        <v>47</v>
      </c>
      <c r="E544" s="7">
        <f t="shared" si="0"/>
        <v>166540.26</v>
      </c>
      <c r="F544" s="7">
        <v>222053.68</v>
      </c>
      <c r="G544" s="7">
        <v>10436522.959999999</v>
      </c>
      <c r="H544" s="7">
        <f t="shared" si="1"/>
        <v>2609130.7399999993</v>
      </c>
      <c r="I544" s="8">
        <v>45730</v>
      </c>
      <c r="J544" s="6" t="s">
        <v>13</v>
      </c>
    </row>
    <row r="545" spans="1:10" x14ac:dyDescent="0.25">
      <c r="A545" s="6" t="s">
        <v>543</v>
      </c>
      <c r="B545" s="6" t="s">
        <v>49</v>
      </c>
      <c r="C545" s="6" t="s">
        <v>39</v>
      </c>
      <c r="D545" s="5">
        <v>47</v>
      </c>
      <c r="E545" s="7">
        <f t="shared" si="0"/>
        <v>177940.63500000001</v>
      </c>
      <c r="F545" s="7">
        <v>237254.18</v>
      </c>
      <c r="G545" s="7">
        <v>11150946.459999999</v>
      </c>
      <c r="H545" s="7">
        <f t="shared" si="1"/>
        <v>2787736.6149999993</v>
      </c>
      <c r="I545" s="8">
        <v>45502</v>
      </c>
      <c r="J545" s="5" t="s">
        <v>10</v>
      </c>
    </row>
    <row r="546" spans="1:10" x14ac:dyDescent="0.25">
      <c r="A546" s="6" t="s">
        <v>544</v>
      </c>
      <c r="B546" s="6" t="s">
        <v>65</v>
      </c>
      <c r="C546" s="6" t="s">
        <v>12</v>
      </c>
      <c r="D546" s="5">
        <v>65</v>
      </c>
      <c r="E546" s="7">
        <f t="shared" si="0"/>
        <v>155211.38250000001</v>
      </c>
      <c r="F546" s="7">
        <v>206948.51</v>
      </c>
      <c r="G546" s="7">
        <v>13451653.15</v>
      </c>
      <c r="H546" s="7">
        <f t="shared" si="1"/>
        <v>3362913.2875000001</v>
      </c>
      <c r="I546" s="8">
        <v>45262</v>
      </c>
      <c r="J546" s="6" t="s">
        <v>13</v>
      </c>
    </row>
    <row r="547" spans="1:10" x14ac:dyDescent="0.25">
      <c r="A547" s="6" t="s">
        <v>545</v>
      </c>
      <c r="B547" s="6" t="s">
        <v>58</v>
      </c>
      <c r="C547" s="6" t="s">
        <v>54</v>
      </c>
      <c r="D547" s="5">
        <v>6</v>
      </c>
      <c r="E547" s="7">
        <f t="shared" si="0"/>
        <v>17991.817500000001</v>
      </c>
      <c r="F547" s="7">
        <v>23989.09</v>
      </c>
      <c r="G547" s="7">
        <v>143934.54</v>
      </c>
      <c r="H547" s="7">
        <f t="shared" si="1"/>
        <v>35983.634999999995</v>
      </c>
      <c r="I547" s="8">
        <v>45845</v>
      </c>
      <c r="J547" s="6" t="s">
        <v>17</v>
      </c>
    </row>
    <row r="548" spans="1:10" x14ac:dyDescent="0.25">
      <c r="A548" s="5" t="s">
        <v>10</v>
      </c>
      <c r="B548" s="6" t="s">
        <v>49</v>
      </c>
      <c r="C548" s="6" t="s">
        <v>23</v>
      </c>
      <c r="D548" s="5">
        <v>47</v>
      </c>
      <c r="E548" s="7">
        <f t="shared" si="0"/>
        <v>167823.18</v>
      </c>
      <c r="F548" s="7">
        <v>223764.24</v>
      </c>
      <c r="G548" s="7">
        <v>10516919.279999999</v>
      </c>
      <c r="H548" s="7">
        <f t="shared" si="1"/>
        <v>2629229.8199999998</v>
      </c>
      <c r="I548" s="8">
        <v>45699</v>
      </c>
      <c r="J548" s="6" t="s">
        <v>17</v>
      </c>
    </row>
    <row r="549" spans="1:10" x14ac:dyDescent="0.25">
      <c r="A549" s="6" t="s">
        <v>546</v>
      </c>
      <c r="B549" s="6" t="s">
        <v>47</v>
      </c>
      <c r="C549" s="6" t="s">
        <v>66</v>
      </c>
      <c r="D549" s="5">
        <v>47</v>
      </c>
      <c r="E549" s="7">
        <f t="shared" si="0"/>
        <v>78063.69</v>
      </c>
      <c r="F549" s="7">
        <v>104084.92</v>
      </c>
      <c r="G549" s="7">
        <v>4891991.24</v>
      </c>
      <c r="H549" s="7">
        <f t="shared" si="1"/>
        <v>1222997.8099999998</v>
      </c>
      <c r="I549" s="8">
        <v>45795</v>
      </c>
      <c r="J549" s="6" t="s">
        <v>40</v>
      </c>
    </row>
    <row r="550" spans="1:10" x14ac:dyDescent="0.25">
      <c r="A550" s="6" t="s">
        <v>547</v>
      </c>
      <c r="B550" s="6" t="s">
        <v>36</v>
      </c>
      <c r="C550" s="6" t="s">
        <v>45</v>
      </c>
      <c r="D550" s="5">
        <v>47</v>
      </c>
      <c r="E550" s="7">
        <f t="shared" si="0"/>
        <v>22317.6675</v>
      </c>
      <c r="F550" s="7">
        <v>29756.89</v>
      </c>
      <c r="G550" s="7">
        <v>1398573.83</v>
      </c>
      <c r="H550" s="7">
        <f t="shared" si="1"/>
        <v>349643.45750000002</v>
      </c>
      <c r="I550" s="8">
        <v>45837</v>
      </c>
      <c r="J550" s="6" t="s">
        <v>27</v>
      </c>
    </row>
    <row r="551" spans="1:10" x14ac:dyDescent="0.25">
      <c r="A551" s="6" t="s">
        <v>548</v>
      </c>
      <c r="B551" s="6" t="s">
        <v>30</v>
      </c>
      <c r="C551" s="6" t="s">
        <v>26</v>
      </c>
      <c r="D551" s="5">
        <v>47</v>
      </c>
      <c r="E551" s="7">
        <f t="shared" si="0"/>
        <v>52520.347500000003</v>
      </c>
      <c r="F551" s="7">
        <v>70027.13</v>
      </c>
      <c r="G551" s="7">
        <v>3291275.1100000003</v>
      </c>
      <c r="H551" s="7">
        <f t="shared" si="1"/>
        <v>822818.77750000008</v>
      </c>
      <c r="I551" s="8">
        <v>45342</v>
      </c>
      <c r="J551" s="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23"/>
  <sheetViews>
    <sheetView workbookViewId="0"/>
  </sheetViews>
  <sheetFormatPr defaultColWidth="12.6640625" defaultRowHeight="15.75" customHeight="1" x14ac:dyDescent="0.25"/>
  <sheetData>
    <row r="1" spans="1:2" x14ac:dyDescent="0.25">
      <c r="A1" s="9" t="s">
        <v>1</v>
      </c>
      <c r="B1" s="9" t="s">
        <v>2</v>
      </c>
    </row>
    <row r="2" spans="1:2" x14ac:dyDescent="0.25">
      <c r="A2" s="10" t="s">
        <v>549</v>
      </c>
      <c r="B2" s="10" t="s">
        <v>550</v>
      </c>
    </row>
    <row r="3" spans="1:2" x14ac:dyDescent="0.25">
      <c r="A3" s="6" t="e">
        <f t="array" aca="1" ref="A3:A23" ca="1">UNIQUE('Raw Data'!B2:B1000)</f>
        <v>#NAME?</v>
      </c>
      <c r="B3" s="6" t="e">
        <f t="array" aca="1" ref="B3:B11" ca="1">UNIQUE('Raw Data'!C2:C1000)</f>
        <v>#NAME?</v>
      </c>
    </row>
    <row r="4" spans="1:2" x14ac:dyDescent="0.25">
      <c r="A4" s="6" t="e">
        <f ca="1"/>
        <v>#NAME?</v>
      </c>
      <c r="B4" s="6" t="e">
        <f ca="1"/>
        <v>#NAME?</v>
      </c>
    </row>
    <row r="5" spans="1:2" x14ac:dyDescent="0.25">
      <c r="A5" s="6" t="e">
        <f ca="1"/>
        <v>#NAME?</v>
      </c>
      <c r="B5" s="6" t="e">
        <f ca="1"/>
        <v>#NAME?</v>
      </c>
    </row>
    <row r="6" spans="1:2" x14ac:dyDescent="0.25">
      <c r="A6" s="6" t="e">
        <f ca="1"/>
        <v>#NAME?</v>
      </c>
      <c r="B6" s="6" t="e">
        <f ca="1"/>
        <v>#NAME?</v>
      </c>
    </row>
    <row r="7" spans="1:2" x14ac:dyDescent="0.25">
      <c r="A7" s="6" t="e">
        <f ca="1"/>
        <v>#NAME?</v>
      </c>
      <c r="B7" s="6" t="e">
        <f ca="1"/>
        <v>#NAME?</v>
      </c>
    </row>
    <row r="8" spans="1:2" x14ac:dyDescent="0.25">
      <c r="A8" s="6" t="e">
        <f ca="1"/>
        <v>#NAME?</v>
      </c>
      <c r="B8" s="6" t="e">
        <f ca="1"/>
        <v>#NAME?</v>
      </c>
    </row>
    <row r="9" spans="1:2" x14ac:dyDescent="0.25">
      <c r="A9" s="6" t="e">
        <f ca="1"/>
        <v>#NAME?</v>
      </c>
      <c r="B9" s="6" t="e">
        <f ca="1"/>
        <v>#NAME?</v>
      </c>
    </row>
    <row r="10" spans="1:2" x14ac:dyDescent="0.25">
      <c r="A10" s="6" t="e">
        <f ca="1"/>
        <v>#NAME?</v>
      </c>
      <c r="B10" s="6" t="e">
        <f ca="1"/>
        <v>#NAME?</v>
      </c>
    </row>
    <row r="11" spans="1:2" x14ac:dyDescent="0.25">
      <c r="A11" s="6" t="e">
        <f ca="1"/>
        <v>#NAME?</v>
      </c>
      <c r="B11" s="5" t="e">
        <f ca="1"/>
        <v>#NAME?</v>
      </c>
    </row>
    <row r="12" spans="1:2" x14ac:dyDescent="0.25">
      <c r="A12" s="6" t="e">
        <f ca="1"/>
        <v>#NAME?</v>
      </c>
    </row>
    <row r="13" spans="1:2" x14ac:dyDescent="0.25">
      <c r="A13" s="6" t="e">
        <f ca="1"/>
        <v>#NAME?</v>
      </c>
    </row>
    <row r="14" spans="1:2" x14ac:dyDescent="0.25">
      <c r="A14" s="6" t="e">
        <f ca="1"/>
        <v>#NAME?</v>
      </c>
    </row>
    <row r="15" spans="1:2" x14ac:dyDescent="0.25">
      <c r="A15" s="6" t="e">
        <f ca="1"/>
        <v>#NAME?</v>
      </c>
    </row>
    <row r="16" spans="1:2" x14ac:dyDescent="0.25">
      <c r="A16" s="6" t="e">
        <f ca="1"/>
        <v>#NAME?</v>
      </c>
    </row>
    <row r="17" spans="1:1" x14ac:dyDescent="0.25">
      <c r="A17" s="6" t="e">
        <f ca="1"/>
        <v>#NAME?</v>
      </c>
    </row>
    <row r="18" spans="1:1" x14ac:dyDescent="0.25">
      <c r="A18" s="6" t="e">
        <f ca="1"/>
        <v>#NAME?</v>
      </c>
    </row>
    <row r="19" spans="1:1" x14ac:dyDescent="0.25">
      <c r="A19" s="6" t="e">
        <f ca="1"/>
        <v>#NAME?</v>
      </c>
    </row>
    <row r="20" spans="1:1" x14ac:dyDescent="0.25">
      <c r="A20" s="6" t="e">
        <f ca="1"/>
        <v>#NAME?</v>
      </c>
    </row>
    <row r="21" spans="1:1" x14ac:dyDescent="0.25">
      <c r="A21" s="6" t="e">
        <f ca="1"/>
        <v>#NAME?</v>
      </c>
    </row>
    <row r="22" spans="1:1" x14ac:dyDescent="0.25">
      <c r="A22" s="6" t="e">
        <f ca="1"/>
        <v>#NAME?</v>
      </c>
    </row>
    <row r="23" spans="1:1" x14ac:dyDescent="0.25">
      <c r="A23" s="5" t="e">
        <f ca="1"/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PAVILION X360</dc:creator>
  <cp:lastModifiedBy>Jude Ogor</cp:lastModifiedBy>
  <dcterms:created xsi:type="dcterms:W3CDTF">2026-03-25T05:43:28Z</dcterms:created>
  <dcterms:modified xsi:type="dcterms:W3CDTF">2026-03-25T05:43:28Z</dcterms:modified>
</cp:coreProperties>
</file>